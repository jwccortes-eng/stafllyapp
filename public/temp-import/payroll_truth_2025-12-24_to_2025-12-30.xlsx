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litystaffbykeury-my.sharepoint.com/personal/info_qualitystaff_online/Documents/Stafflyapp/Quality Staff/Pagos_novedades/112 DIC 24 TO DIC 30 2025/QS/"/>
    </mc:Choice>
  </mc:AlternateContent>
  <xr:revisionPtr revIDLastSave="0" documentId="8_{03262C6F-8DBC-6D4F-BEAC-375B58345018}" xr6:coauthVersionLast="47" xr6:coauthVersionMax="47" xr10:uidLastSave="{00000000-0000-0000-0000-000000000000}"/>
  <bookViews>
    <workbookView xWindow="0" yWindow="620" windowWidth="25600" windowHeight="14180" xr2:uid="{00000000-000D-0000-FFFF-FFFF00000000}"/>
  </bookViews>
  <sheets>
    <sheet name="PAYROLL" sheetId="2" r:id="rId1"/>
  </sheets>
  <definedNames>
    <definedName name="_xlnm._FilterDatabase" localSheetId="0" hidden="1">PAYROLL!$A$1:$AZ$47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7" i="2" l="1"/>
  <c r="AV44" i="2" l="1"/>
  <c r="AV34" i="2"/>
  <c r="AV29" i="2"/>
  <c r="AV3" i="2"/>
  <c r="AV4" i="2"/>
  <c r="AV5" i="2"/>
  <c r="AV6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30" i="2"/>
  <c r="AV31" i="2"/>
  <c r="AV32" i="2"/>
  <c r="AV33" i="2"/>
  <c r="AV35" i="2"/>
  <c r="AV36" i="2"/>
  <c r="AV37" i="2"/>
  <c r="AV38" i="2"/>
  <c r="AV39" i="2"/>
  <c r="AV40" i="2"/>
  <c r="AV41" i="2"/>
  <c r="AV42" i="2"/>
  <c r="AV43" i="2"/>
  <c r="AV45" i="2"/>
  <c r="AV46" i="2"/>
  <c r="AV47" i="2"/>
  <c r="AV2" i="2"/>
  <c r="AO48" i="2"/>
  <c r="AP48" i="2"/>
  <c r="AQ48" i="2"/>
  <c r="AR48" i="2"/>
  <c r="AS48" i="2"/>
  <c r="AT48" i="2"/>
  <c r="AU48" i="2"/>
  <c r="AN48" i="2"/>
  <c r="AV48" i="2" l="1"/>
</calcChain>
</file>

<file path=xl/sharedStrings.xml><?xml version="1.0" encoding="utf-8"?>
<sst xmlns="http://schemas.openxmlformats.org/spreadsheetml/2006/main" count="1387" uniqueCount="323">
  <si>
    <t>First name</t>
  </si>
  <si>
    <t>Last name</t>
  </si>
  <si>
    <t>Phone number</t>
  </si>
  <si>
    <t>Email</t>
  </si>
  <si>
    <t>Job</t>
  </si>
  <si>
    <t>Job code</t>
  </si>
  <si>
    <t>Job sub item</t>
  </si>
  <si>
    <t>Sub item code</t>
  </si>
  <si>
    <t>Start Date</t>
  </si>
  <si>
    <t>Start time</t>
  </si>
  <si>
    <t>Start - location</t>
  </si>
  <si>
    <t>Start - address</t>
  </si>
  <si>
    <t>Start - device</t>
  </si>
  <si>
    <t>Start (selfie)</t>
  </si>
  <si>
    <t>End Date</t>
  </si>
  <si>
    <t>End time</t>
  </si>
  <si>
    <t>End - location</t>
  </si>
  <si>
    <t>End - address</t>
  </si>
  <si>
    <t>End - device</t>
  </si>
  <si>
    <t>End (selfie)</t>
  </si>
  <si>
    <t>Employee notes</t>
  </si>
  <si>
    <t>Manager notes</t>
  </si>
  <si>
    <t>Shift hours</t>
  </si>
  <si>
    <t>Hourly rate (USD)</t>
  </si>
  <si>
    <t>Daily total hours</t>
  </si>
  <si>
    <t>Daily total pay (USD)</t>
  </si>
  <si>
    <t>Regular</t>
  </si>
  <si>
    <t>Total Regular</t>
  </si>
  <si>
    <t>Daily overtime hours</t>
  </si>
  <si>
    <t>Weekly total hours</t>
  </si>
  <si>
    <t>Total work hours</t>
  </si>
  <si>
    <t>Total paid time off hours</t>
  </si>
  <si>
    <t>Total unpaid time off hours</t>
  </si>
  <si>
    <t>Total paid break hours</t>
  </si>
  <si>
    <t>Total unpaid break hours</t>
  </si>
  <si>
    <t>Total paid hours</t>
  </si>
  <si>
    <t>Total overtime hours</t>
  </si>
  <si>
    <t>Total pay</t>
  </si>
  <si>
    <t>Employer identification</t>
  </si>
  <si>
    <t>Verification SSN - EIN</t>
  </si>
  <si>
    <t>ALEJANDRO</t>
  </si>
  <si>
    <t/>
  </si>
  <si>
    <t>TZORIN</t>
  </si>
  <si>
    <t>(347) 4443509</t>
  </si>
  <si>
    <t>alexcuj1990@gmail.com</t>
  </si>
  <si>
    <t>99 Bonus Holidays</t>
  </si>
  <si>
    <t>No sub-job</t>
  </si>
  <si>
    <t>12/26/2025</t>
  </si>
  <si>
    <t>12:00 AM</t>
  </si>
  <si>
    <t>Updated by admin</t>
  </si>
  <si>
    <t>12:10 AM</t>
  </si>
  <si>
    <t>DOUBLE PAY</t>
  </si>
  <si>
    <t>Mobile</t>
  </si>
  <si>
    <t>VERIFIED</t>
  </si>
  <si>
    <t>12/25/2025</t>
  </si>
  <si>
    <t>12/24/2025</t>
  </si>
  <si>
    <t>05:00 PM</t>
  </si>
  <si>
    <t>ALISON</t>
  </si>
  <si>
    <t>VARGAS</t>
  </si>
  <si>
    <t>(646) 9864659</t>
  </si>
  <si>
    <t>Alisonvargas2018@gmail.com</t>
  </si>
  <si>
    <t>20 - GREEN EVENTS</t>
  </si>
  <si>
    <t>Job A</t>
  </si>
  <si>
    <t>12/28/2025</t>
  </si>
  <si>
    <t>11:18 AM</t>
  </si>
  <si>
    <t>Park Ave, 502, New York, United States, 10022</t>
  </si>
  <si>
    <t>09:30 PM</t>
  </si>
  <si>
    <t>E 59th St, 49–99, New York, United States, 10022</t>
  </si>
  <si>
    <t>973-95-3761</t>
  </si>
  <si>
    <t>06:00 PM</t>
  </si>
  <si>
    <t>11:30 PM</t>
  </si>
  <si>
    <t>01 - EMMINENCE HALL</t>
  </si>
  <si>
    <t>House Staff</t>
  </si>
  <si>
    <t>Emminence</t>
  </si>
  <si>
    <t>ANDERSON</t>
  </si>
  <si>
    <t>(347) 9923744</t>
  </si>
  <si>
    <t>Avargas2052@gmail.com</t>
  </si>
  <si>
    <t>03:00 PM</t>
  </si>
  <si>
    <t>Park Ave, 502–516, Nueva York, Estados Unidos, 10022</t>
  </si>
  <si>
    <t>09:23 PM</t>
  </si>
  <si>
    <t>E 59th St, 55, Nueva York, Estados Unidos, 10022</t>
  </si>
  <si>
    <t>05:01 PM</t>
  </si>
  <si>
    <t>ANDREA</t>
  </si>
  <si>
    <t>JIMENEZ</t>
  </si>
  <si>
    <t>(862) 3853509</t>
  </si>
  <si>
    <t>Aj.servicesofwaiters@gmail.com</t>
  </si>
  <si>
    <t>984 94 4165</t>
  </si>
  <si>
    <t>16th Ave, 4317, Nueva York, Estados Unidos, 11204</t>
  </si>
  <si>
    <t>CASTILLO</t>
  </si>
  <si>
    <t>BRAYANT</t>
  </si>
  <si>
    <t>PAULINO</t>
  </si>
  <si>
    <t>(347) 5422883</t>
  </si>
  <si>
    <t>brayantpaulinok@gmail.com</t>
  </si>
  <si>
    <t>CARLOS</t>
  </si>
  <si>
    <t>ALVAREZ</t>
  </si>
  <si>
    <t>(646) 8372721</t>
  </si>
  <si>
    <t>carlosmanuel.alvarez1986@gmail.com</t>
  </si>
  <si>
    <t>11:00 AM</t>
  </si>
  <si>
    <t>E 59th St, 67, New York, United States, 10022</t>
  </si>
  <si>
    <t>56 - CHEF KAUFMAN</t>
  </si>
  <si>
    <t>Regulare Event</t>
  </si>
  <si>
    <t>12/27/2025</t>
  </si>
  <si>
    <t>10:00 AM</t>
  </si>
  <si>
    <t>11:00 PM</t>
  </si>
  <si>
    <t>ORTIZ</t>
  </si>
  <si>
    <t>(347) 5497288</t>
  </si>
  <si>
    <t>carlitosortiz563@gmail.com</t>
  </si>
  <si>
    <t>06 -THE MILENIUM SIMCHA</t>
  </si>
  <si>
    <t>House Waiters</t>
  </si>
  <si>
    <t>12/30/2025</t>
  </si>
  <si>
    <t>05:07 PM</t>
  </si>
  <si>
    <t>Millennium Simcha Hall</t>
  </si>
  <si>
    <t>44th St, 1401–1499, Nueva York, Estados Unidos, 11219</t>
  </si>
  <si>
    <t>McDonald Ave, 369–395, Nueva York, Estados Unidos, 11218</t>
  </si>
  <si>
    <t>05:00 AM</t>
  </si>
  <si>
    <t>16th Ave, 4313, Nueva York, Estados Unidos, 11204</t>
  </si>
  <si>
    <t>COLLIN</t>
  </si>
  <si>
    <t>TWIST</t>
  </si>
  <si>
    <t>(929) 3192778</t>
  </si>
  <si>
    <t>collin_twist@yahoo.com</t>
  </si>
  <si>
    <t>Cristian</t>
  </si>
  <si>
    <t>Marulanda</t>
  </si>
  <si>
    <t>7959 5737</t>
  </si>
  <si>
    <t>krhistiancano@gmail.com</t>
  </si>
  <si>
    <t>02:15 AM</t>
  </si>
  <si>
    <t>DANNYERSON</t>
  </si>
  <si>
    <t>ROJAS</t>
  </si>
  <si>
    <t>(917) 6185201</t>
  </si>
  <si>
    <t>Dannyerson@icloud.com</t>
  </si>
  <si>
    <t>12:30 AM</t>
  </si>
  <si>
    <t>06:30 PM</t>
  </si>
  <si>
    <t>Edisson</t>
  </si>
  <si>
    <t>Quinatoa</t>
  </si>
  <si>
    <t>(917) 6888999</t>
  </si>
  <si>
    <t>Edissonquinatoa13@gmail.com</t>
  </si>
  <si>
    <t>Eliberto</t>
  </si>
  <si>
    <t>Cuadros</t>
  </si>
  <si>
    <t>(646) 6458757</t>
  </si>
  <si>
    <t>rinconali72@gmail.com</t>
  </si>
  <si>
    <t>EMILIO</t>
  </si>
  <si>
    <t>QUISQUINA</t>
  </si>
  <si>
    <t>(347) 6999849</t>
  </si>
  <si>
    <t>emilioquisquina4@gmail.com</t>
  </si>
  <si>
    <t>Kitchen Staff</t>
  </si>
  <si>
    <t>44th Street, 1601, Estados Unidos, 11204</t>
  </si>
  <si>
    <t>05:03 AM</t>
  </si>
  <si>
    <t>44th Street, 1600, Estados Unidos, 11219</t>
  </si>
  <si>
    <t>ERNESTO</t>
  </si>
  <si>
    <t>(347) 4999207</t>
  </si>
  <si>
    <t>quisquina47@gmail.com</t>
  </si>
  <si>
    <t>44th St, 1600, Nueva York, Estados Unidos, 11204</t>
  </si>
  <si>
    <t>05:01 AM</t>
  </si>
  <si>
    <t>FELIX</t>
  </si>
  <si>
    <t>YACON</t>
  </si>
  <si>
    <t>(347) 5588966</t>
  </si>
  <si>
    <t>felixyacon735@gmail.com</t>
  </si>
  <si>
    <t>44th Street, 1613, Estados Unidos, 11204</t>
  </si>
  <si>
    <t>44th Street, 1618, Estados Unidos, 11204</t>
  </si>
  <si>
    <t>IVAN</t>
  </si>
  <si>
    <t>MORALES</t>
  </si>
  <si>
    <t>(347) 8210020</t>
  </si>
  <si>
    <t>innovationmedia1@gmail.com</t>
  </si>
  <si>
    <t>JACQUELINE</t>
  </si>
  <si>
    <t>CORAL</t>
  </si>
  <si>
    <t>(516) 3696730</t>
  </si>
  <si>
    <t>jackienyc26@gmail.com</t>
  </si>
  <si>
    <t>PEREZ</t>
  </si>
  <si>
    <t>JEANPOUL</t>
  </si>
  <si>
    <t>GUTIERREZ</t>
  </si>
  <si>
    <t>(929) 9774505</t>
  </si>
  <si>
    <t>gutierrezjeanpoul@gmail.com</t>
  </si>
  <si>
    <t>45th St, 1437, New York, United States, 11219</t>
  </si>
  <si>
    <t>14th Ave, 4423, New York, United States, 11219</t>
  </si>
  <si>
    <t>14th Ave, 4402, New York, United States, 11219</t>
  </si>
  <si>
    <t>JESUS</t>
  </si>
  <si>
    <t>ALPACAJA</t>
  </si>
  <si>
    <t>(347) 2527069</t>
  </si>
  <si>
    <t>jesusbaquiax5@gmail.com</t>
  </si>
  <si>
    <t>12/31/2025</t>
  </si>
  <si>
    <t>01:00 AM</t>
  </si>
  <si>
    <t>JONATHAN</t>
  </si>
  <si>
    <t>LOPEZ</t>
  </si>
  <si>
    <t>(551) 2674738</t>
  </si>
  <si>
    <t>Jonxthxnone12@gmail.com</t>
  </si>
  <si>
    <t>JOSIAS</t>
  </si>
  <si>
    <t>CEVALLOS</t>
  </si>
  <si>
    <t>(718) 5361877</t>
  </si>
  <si>
    <t>josiascevallos20@gmail.com</t>
  </si>
  <si>
    <t>16th Ave, 4105, Nueva York, Estados Unidos, 11204</t>
  </si>
  <si>
    <t>José</t>
  </si>
  <si>
    <t>Rodas</t>
  </si>
  <si>
    <t>(929) 4235879</t>
  </si>
  <si>
    <t>linaresjoseph36@gmail.com</t>
  </si>
  <si>
    <t>064-31-7984</t>
  </si>
  <si>
    <t>VELASQUEZ</t>
  </si>
  <si>
    <t>JUSTIN</t>
  </si>
  <si>
    <t>MORA</t>
  </si>
  <si>
    <t>(917) 4781946</t>
  </si>
  <si>
    <t>jurupingui16@gmail.com</t>
  </si>
  <si>
    <t>45th St, 1435, New York, United States, 11219</t>
  </si>
  <si>
    <t>Kail</t>
  </si>
  <si>
    <t>Araque Idrovo</t>
  </si>
  <si>
    <t>(862) 3399080</t>
  </si>
  <si>
    <t>kaildelarua@gmail.com</t>
  </si>
  <si>
    <t>KEURY</t>
  </si>
  <si>
    <t>CAMILO</t>
  </si>
  <si>
    <t>(347) 3358615</t>
  </si>
  <si>
    <t>camilokeury2@gmail.com</t>
  </si>
  <si>
    <t>KEVIN</t>
  </si>
  <si>
    <t>(929) 4135596</t>
  </si>
  <si>
    <t>kevinvelassquez@gmail.com</t>
  </si>
  <si>
    <t>46th Street, 1573, United States, 11219</t>
  </si>
  <si>
    <t>46th Street, 1569, United States, 11219</t>
  </si>
  <si>
    <t>04 - OCCASIONS EVENTS</t>
  </si>
  <si>
    <t>Job  A</t>
  </si>
  <si>
    <t>East 35th Street, 1209, United States, 11210</t>
  </si>
  <si>
    <t>LIZARDY</t>
  </si>
  <si>
    <t>(929) 6698693</t>
  </si>
  <si>
    <t>lizard30@icloud.com</t>
  </si>
  <si>
    <t>LIZETH</t>
  </si>
  <si>
    <t>(347) 2328762</t>
  </si>
  <si>
    <t>lizethperez1923@gmail.com</t>
  </si>
  <si>
    <t>LIZNEY</t>
  </si>
  <si>
    <t>SANDOVAL</t>
  </si>
  <si>
    <t>(929) 9798192</t>
  </si>
  <si>
    <t>Lizlorey@icloud.com</t>
  </si>
  <si>
    <t>14th Ave, 4405, Nueva York, Estados Unidos, 11219</t>
  </si>
  <si>
    <t>Church Ave, 101, Nueva York, Estados Unidos, 11218</t>
  </si>
  <si>
    <t>LUIS</t>
  </si>
  <si>
    <t>DUTA</t>
  </si>
  <si>
    <t>(929) 5716850</t>
  </si>
  <si>
    <t>luisduta276@gmail.com</t>
  </si>
  <si>
    <t>03:15 PM</t>
  </si>
  <si>
    <t>East 35th Street, 1210, United States, 11210</t>
  </si>
  <si>
    <t>16th Avenue, 4301, United States, 11204</t>
  </si>
  <si>
    <t>MARCY LORENA</t>
  </si>
  <si>
    <t>MORENO</t>
  </si>
  <si>
    <t>(347) 5985408</t>
  </si>
  <si>
    <t>Lalitomo3333@gmail.com</t>
  </si>
  <si>
    <t>04:30 PM</t>
  </si>
  <si>
    <t>11:29 PM</t>
  </si>
  <si>
    <t>MARIA</t>
  </si>
  <si>
    <t>SANABRIA</t>
  </si>
  <si>
    <t>(929) 6213479</t>
  </si>
  <si>
    <t>mariasanabria@qualitystaff.co</t>
  </si>
  <si>
    <t>MARIANY</t>
  </si>
  <si>
    <t>(929) 8019233</t>
  </si>
  <si>
    <t>marianyortiz66@gmail.com</t>
  </si>
  <si>
    <t>16th Ave, 4315, Nueva York, Estados Unidos, 11204</t>
  </si>
  <si>
    <t>MARILYN</t>
  </si>
  <si>
    <t>PINARGOTE</t>
  </si>
  <si>
    <t>(929) 8050705</t>
  </si>
  <si>
    <t>roxanapinargote414@gmail.com</t>
  </si>
  <si>
    <t>Marvin</t>
  </si>
  <si>
    <t>Quisquina</t>
  </si>
  <si>
    <t>(347) 4833883</t>
  </si>
  <si>
    <t>marvincocamdg@gmail.com</t>
  </si>
  <si>
    <t>44th Street, 1600 A, Estados Unidos, 11204</t>
  </si>
  <si>
    <t>NATHALI</t>
  </si>
  <si>
    <t>PINEDA</t>
  </si>
  <si>
    <t>(929) 6740198</t>
  </si>
  <si>
    <t>Nathali18.raquira@yahoo.es</t>
  </si>
  <si>
    <t>Nixon</t>
  </si>
  <si>
    <t>Cuevas</t>
  </si>
  <si>
    <t>(646) 5815909</t>
  </si>
  <si>
    <t>sancheznixon037@gmail.com</t>
  </si>
  <si>
    <t>OLIVER</t>
  </si>
  <si>
    <t>MARTINEZ</t>
  </si>
  <si>
    <t>(908) 4049778</t>
  </si>
  <si>
    <t>oliver.martinez0725@gmail.com</t>
  </si>
  <si>
    <t>SPARK NEW YORK</t>
  </si>
  <si>
    <t>Rogers Ave, 755, New York, United States, 11226</t>
  </si>
  <si>
    <t>55th St, 1201–1299, New York, United States, 11219</t>
  </si>
  <si>
    <t>OSCAR</t>
  </si>
  <si>
    <t>PALACIO</t>
  </si>
  <si>
    <t>(504) 6138045</t>
  </si>
  <si>
    <t>tivenp17@gmail.com</t>
  </si>
  <si>
    <t>05:40 PM</t>
  </si>
  <si>
    <t>PETER</t>
  </si>
  <si>
    <t>SANISACA</t>
  </si>
  <si>
    <t>(631) 3364298</t>
  </si>
  <si>
    <t>Jones15lopez@outlook.es</t>
  </si>
  <si>
    <t>RICARDO</t>
  </si>
  <si>
    <t>(347) 4886335</t>
  </si>
  <si>
    <t>Cucricardo7@gmail.com</t>
  </si>
  <si>
    <t>RONNY</t>
  </si>
  <si>
    <t>TORRES</t>
  </si>
  <si>
    <t>(646) 2768744</t>
  </si>
  <si>
    <t>Ronnypayano94@gmail.com</t>
  </si>
  <si>
    <t>16th Ave, 4102, Nueva York, Estados Unidos, 11204</t>
  </si>
  <si>
    <t>SEBASTIAN</t>
  </si>
  <si>
    <t>VILLEGAS</t>
  </si>
  <si>
    <t>(646) 8585060</t>
  </si>
  <si>
    <t>svmarin111@gmail.com</t>
  </si>
  <si>
    <t>WILLIAM</t>
  </si>
  <si>
    <t>GUERRERO</t>
  </si>
  <si>
    <t>(516) 4020750</t>
  </si>
  <si>
    <t>williamgster@gmail.com</t>
  </si>
  <si>
    <t>16th Avenue, 4315, United States, 11204</t>
  </si>
  <si>
    <t>RODRIGUEZ</t>
  </si>
  <si>
    <t>(929) 5449822</t>
  </si>
  <si>
    <t>williamrodriguez380@hotmail.com</t>
  </si>
  <si>
    <t>YESID</t>
  </si>
  <si>
    <t>MEJIA</t>
  </si>
  <si>
    <t>(516) 9230137</t>
  </si>
  <si>
    <t>yesid.mejiaba@amigo.edu.co</t>
  </si>
  <si>
    <t>359-95-4226</t>
  </si>
  <si>
    <t>Payper Day</t>
  </si>
  <si>
    <t>Ryde</t>
  </si>
  <si>
    <t>TIPS</t>
  </si>
  <si>
    <t>Reimbursements</t>
  </si>
  <si>
    <t>Travel Hours</t>
  </si>
  <si>
    <t>Otros</t>
  </si>
  <si>
    <t xml:space="preserve">Discount </t>
  </si>
  <si>
    <t>TOTAL</t>
  </si>
  <si>
    <t>Observaciones</t>
  </si>
  <si>
    <t>Date</t>
  </si>
  <si>
    <t>Corte</t>
  </si>
  <si>
    <t>12/24/2025 TO 12/30/2026</t>
  </si>
  <si>
    <t>ADMI DECEMBER</t>
  </si>
  <si>
    <t>PROPINA WEEKEND</t>
  </si>
  <si>
    <t>keuryllc@qualitystaff.org</t>
  </si>
  <si>
    <t>TOTAL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</si>
</sst>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#,#00.00"/>
    <numFmt numFmtId="167" formatCode="000\-00\-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9BF92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BCBFE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487037"/>
        <bgColor indexed="64"/>
      </patternFill>
    </fill>
    <fill>
      <patternFill patternType="solid">
        <fgColor rgb="FF3968BB"/>
        <bgColor indexed="64"/>
      </patternFill>
    </fill>
    <fill>
      <patternFill patternType="solid">
        <fgColor rgb="FF4E3F75"/>
        <bgColor indexed="64"/>
      </patternFill>
    </fill>
    <fill>
      <patternFill patternType="solid">
        <fgColor rgb="FFD4985A"/>
        <bgColor indexed="64"/>
      </patternFill>
    </fill>
    <fill>
      <patternFill patternType="solid">
        <fgColor rgb="FF548CBE"/>
        <bgColor indexed="64"/>
      </patternFill>
    </fill>
    <fill>
      <patternFill patternType="solid">
        <fgColor rgb="FF18B4C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6" fontId="0" fillId="0" borderId="0" xfId="0" applyNumberFormat="1" applyAlignment="1">
      <alignment vertical="center"/>
    </xf>
    <xf numFmtId="166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167" fontId="0" fillId="0" borderId="0" xfId="0" applyNumberFormat="1"/>
    <xf numFmtId="164" fontId="1" fillId="16" borderId="1" xfId="2" applyFont="1" applyFill="1" applyBorder="1" applyAlignment="1">
      <alignment horizontal="center" vertical="center"/>
    </xf>
    <xf numFmtId="164" fontId="4" fillId="16" borderId="1" xfId="2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165" fontId="1" fillId="16" borderId="2" xfId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horizontal="right"/>
    </xf>
    <xf numFmtId="167" fontId="0" fillId="0" borderId="0" xfId="0" applyNumberFormat="1" applyAlignment="1">
      <alignment horizontal="right"/>
    </xf>
    <xf numFmtId="164" fontId="0" fillId="0" borderId="0" xfId="2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17" borderId="0" xfId="2" applyFont="1" applyFill="1"/>
    <xf numFmtId="164" fontId="1" fillId="17" borderId="0" xfId="2" applyFont="1" applyFill="1"/>
    <xf numFmtId="0" fontId="3" fillId="17" borderId="0" xfId="0" applyFont="1" applyFill="1"/>
    <xf numFmtId="167" fontId="3" fillId="17" borderId="0" xfId="0" applyNumberFormat="1" applyFont="1" applyFill="1" applyAlignment="1">
      <alignment horizontal="right"/>
    </xf>
    <xf numFmtId="164" fontId="3" fillId="17" borderId="0" xfId="2" applyFont="1" applyFill="1"/>
    <xf numFmtId="164" fontId="6" fillId="17" borderId="0" xfId="2" applyFont="1" applyFill="1"/>
    <xf numFmtId="0" fontId="3" fillId="17" borderId="0" xfId="0" applyFont="1" applyFill="1" applyAlignment="1">
      <alignment horizontal="center" vertical="center"/>
    </xf>
    <xf numFmtId="0" fontId="3" fillId="0" borderId="0" xfId="0" applyFont="1"/>
    <xf numFmtId="164" fontId="1" fillId="17" borderId="1" xfId="2" applyFont="1" applyFill="1" applyBorder="1" applyAlignment="1">
      <alignment horizontal="center" vertical="center"/>
    </xf>
    <xf numFmtId="164" fontId="0" fillId="17" borderId="0" xfId="0" applyNumberFormat="1" applyFill="1"/>
    <xf numFmtId="164" fontId="5" fillId="0" borderId="0" xfId="2" applyFont="1"/>
    <xf numFmtId="164" fontId="5" fillId="0" borderId="0" xfId="2" applyFont="1" applyFill="1"/>
    <xf numFmtId="0" fontId="7" fillId="17" borderId="0" xfId="3" applyFill="1"/>
    <xf numFmtId="0" fontId="0" fillId="18" borderId="0" xfId="0" applyFill="1"/>
    <xf numFmtId="167" fontId="0" fillId="18" borderId="0" xfId="0" applyNumberFormat="1" applyFill="1" applyAlignment="1">
      <alignment horizontal="right"/>
    </xf>
    <xf numFmtId="166" fontId="0" fillId="18" borderId="0" xfId="0" applyNumberFormat="1" applyFill="1"/>
    <xf numFmtId="166" fontId="0" fillId="18" borderId="0" xfId="0" applyNumberFormat="1" applyFill="1" applyAlignment="1">
      <alignment vertical="center"/>
    </xf>
    <xf numFmtId="164" fontId="0" fillId="18" borderId="0" xfId="2" applyFont="1" applyFill="1"/>
    <xf numFmtId="164" fontId="5" fillId="18" borderId="0" xfId="2" applyFont="1" applyFill="1"/>
    <xf numFmtId="164" fontId="0" fillId="18" borderId="0" xfId="0" applyNumberFormat="1" applyFill="1"/>
    <xf numFmtId="14" fontId="0" fillId="18" borderId="0" xfId="0" applyNumberFormat="1" applyFill="1" applyAlignment="1">
      <alignment horizontal="center" vertical="center"/>
    </xf>
    <xf numFmtId="0" fontId="0" fillId="18" borderId="0" xfId="0" applyFill="1" applyAlignment="1">
      <alignment horizontal="center" vertical="center"/>
    </xf>
  </cellXfs>
  <cellStyles count="4">
    <cellStyle name="Hipervínculo" xfId="3" builtinId="8"/>
    <cellStyle name="Moneda" xfId="1" builtinId="4"/>
    <cellStyle name="Moneda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uryllc@qualitystaff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EAEB-4460-A642-ABB0-CEEA8876C0D0}">
  <dimension ref="A1:AY48"/>
  <sheetViews>
    <sheetView tabSelected="1" workbookViewId="0">
      <pane xSplit="4" topLeftCell="E1" activePane="topRight" state="frozen"/>
      <selection pane="topRight" activeCell="G11" sqref="G11"/>
    </sheetView>
  </sheetViews>
  <sheetFormatPr baseColWidth="10" defaultColWidth="8.83203125" defaultRowHeight="15" x14ac:dyDescent="0.2"/>
  <cols>
    <col min="1" max="1" width="17.83203125" customWidth="1"/>
    <col min="2" max="2" width="19.6640625" style="23" customWidth="1"/>
    <col min="3" max="3" width="14.6640625" customWidth="1"/>
    <col min="4" max="4" width="18.6640625" customWidth="1"/>
    <col min="5" max="5" width="13.6640625" customWidth="1"/>
    <col min="6" max="6" width="36.6640625" customWidth="1"/>
    <col min="7" max="7" width="26.6640625" customWidth="1"/>
    <col min="8" max="8" width="8.6640625" customWidth="1"/>
    <col min="9" max="9" width="17.6640625" customWidth="1"/>
    <col min="10" max="10" width="13.6640625" customWidth="1"/>
    <col min="11" max="12" width="10.6640625" customWidth="1"/>
    <col min="13" max="14" width="50.6640625" customWidth="1"/>
    <col min="15" max="15" width="16.6640625" customWidth="1"/>
    <col min="16" max="16" width="14.6640625" customWidth="1"/>
    <col min="17" max="17" width="10.6640625" customWidth="1"/>
    <col min="18" max="18" width="8.6640625" customWidth="1"/>
    <col min="19" max="20" width="50.6640625" customWidth="1"/>
    <col min="21" max="21" width="16.6640625" customWidth="1"/>
    <col min="22" max="22" width="12.6640625" customWidth="1"/>
    <col min="23" max="24" width="50.6640625" customWidth="1"/>
    <col min="25" max="25" width="11.6640625" customWidth="1"/>
    <col min="26" max="27" width="17.6640625" customWidth="1"/>
    <col min="28" max="28" width="21.6640625" customWidth="1"/>
    <col min="29" max="29" width="7.6640625" customWidth="1"/>
    <col min="30" max="30" width="13.6640625" customWidth="1"/>
    <col min="31" max="31" width="20.6640625" customWidth="1"/>
    <col min="32" max="32" width="18.6640625" customWidth="1"/>
    <col min="33" max="33" width="16.6640625" customWidth="1"/>
    <col min="34" max="37" width="9.33203125" customWidth="1"/>
    <col min="38" max="38" width="16.6640625" customWidth="1"/>
    <col min="39" max="39" width="20.6640625" customWidth="1"/>
    <col min="40" max="40" width="9.6640625" style="24" customWidth="1"/>
    <col min="41" max="41" width="12.6640625" style="24" customWidth="1"/>
    <col min="42" max="43" width="8.83203125" style="24"/>
    <col min="44" max="44" width="18.33203125" style="24" customWidth="1"/>
    <col min="45" max="45" width="16.6640625" style="24" customWidth="1"/>
    <col min="46" max="46" width="8.83203125" style="24"/>
    <col min="47" max="47" width="8.83203125" style="37"/>
    <col min="48" max="48" width="13.33203125" customWidth="1"/>
    <col min="49" max="49" width="31.6640625" customWidth="1"/>
    <col min="50" max="50" width="31.6640625" style="26" customWidth="1"/>
    <col min="51" max="51" width="32.33203125" style="26" customWidth="1"/>
  </cols>
  <sheetData>
    <row r="1" spans="1:51" x14ac:dyDescent="0.2">
      <c r="A1" s="1" t="s">
        <v>38</v>
      </c>
      <c r="B1" s="22" t="s">
        <v>39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3" t="s">
        <v>20</v>
      </c>
      <c r="X1" s="3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4" t="s">
        <v>31</v>
      </c>
      <c r="AI1" s="4" t="s">
        <v>32</v>
      </c>
      <c r="AJ1" s="5" t="s">
        <v>33</v>
      </c>
      <c r="AK1" s="5" t="s">
        <v>34</v>
      </c>
      <c r="AL1" s="6" t="s">
        <v>35</v>
      </c>
      <c r="AM1" s="6" t="s">
        <v>36</v>
      </c>
      <c r="AN1" s="28" t="s">
        <v>37</v>
      </c>
      <c r="AO1" s="18" t="s">
        <v>307</v>
      </c>
      <c r="AP1" s="18" t="s">
        <v>308</v>
      </c>
      <c r="AQ1" s="18" t="s">
        <v>309</v>
      </c>
      <c r="AR1" s="18" t="s">
        <v>310</v>
      </c>
      <c r="AS1" s="18" t="s">
        <v>311</v>
      </c>
      <c r="AT1" s="18" t="s">
        <v>312</v>
      </c>
      <c r="AU1" s="19" t="s">
        <v>313</v>
      </c>
      <c r="AV1" s="35" t="s">
        <v>314</v>
      </c>
      <c r="AW1" s="20" t="s">
        <v>315</v>
      </c>
      <c r="AX1" s="21" t="s">
        <v>316</v>
      </c>
      <c r="AY1" s="21" t="s">
        <v>317</v>
      </c>
    </row>
    <row r="2" spans="1:51" x14ac:dyDescent="0.2">
      <c r="A2">
        <v>385</v>
      </c>
      <c r="B2" s="23">
        <v>728256714</v>
      </c>
      <c r="C2" t="s">
        <v>40</v>
      </c>
      <c r="D2" t="s">
        <v>42</v>
      </c>
      <c r="E2" t="s">
        <v>43</v>
      </c>
      <c r="F2" t="s">
        <v>44</v>
      </c>
      <c r="G2" s="9" t="s">
        <v>45</v>
      </c>
      <c r="H2" s="9">
        <v>9999</v>
      </c>
      <c r="I2" s="10" t="s">
        <v>46</v>
      </c>
      <c r="J2" s="10" t="s">
        <v>46</v>
      </c>
      <c r="K2" t="s">
        <v>47</v>
      </c>
      <c r="L2" t="s">
        <v>48</v>
      </c>
      <c r="M2" t="s">
        <v>41</v>
      </c>
      <c r="N2" t="s">
        <v>41</v>
      </c>
      <c r="O2" t="s">
        <v>49</v>
      </c>
      <c r="P2" t="s">
        <v>41</v>
      </c>
      <c r="Q2" t="s">
        <v>47</v>
      </c>
      <c r="R2" t="s">
        <v>50</v>
      </c>
      <c r="S2" t="s">
        <v>41</v>
      </c>
      <c r="T2" t="s">
        <v>41</v>
      </c>
      <c r="U2" t="s">
        <v>49</v>
      </c>
      <c r="V2" t="s">
        <v>41</v>
      </c>
      <c r="W2" t="s">
        <v>41</v>
      </c>
      <c r="X2" t="s">
        <v>51</v>
      </c>
      <c r="Y2" s="8">
        <v>0.17</v>
      </c>
      <c r="Z2">
        <v>20</v>
      </c>
      <c r="AA2" s="7">
        <v>0.17</v>
      </c>
      <c r="AB2">
        <v>3.33</v>
      </c>
      <c r="AC2" s="7">
        <v>0.17</v>
      </c>
      <c r="AD2" s="7">
        <v>27.73</v>
      </c>
      <c r="AE2" s="7" t="s">
        <v>41</v>
      </c>
      <c r="AF2" s="7">
        <v>27.73</v>
      </c>
      <c r="AG2" s="8">
        <v>27.73</v>
      </c>
      <c r="AH2" s="8" t="s">
        <v>41</v>
      </c>
      <c r="AI2" s="8" t="s">
        <v>41</v>
      </c>
      <c r="AJ2" s="8" t="s">
        <v>41</v>
      </c>
      <c r="AK2" s="8" t="s">
        <v>41</v>
      </c>
      <c r="AL2" s="8">
        <v>27.73</v>
      </c>
      <c r="AM2" s="8" t="s">
        <v>41</v>
      </c>
      <c r="AN2" s="27">
        <v>554.66999999999996</v>
      </c>
      <c r="AV2" s="36">
        <f>SUM(AN2:AU2)</f>
        <v>554.66999999999996</v>
      </c>
      <c r="AX2" s="25">
        <v>46143</v>
      </c>
      <c r="AY2" s="26" t="s">
        <v>318</v>
      </c>
    </row>
    <row r="3" spans="1:51" x14ac:dyDescent="0.2">
      <c r="A3">
        <v>1069</v>
      </c>
      <c r="B3" s="23" t="s">
        <v>68</v>
      </c>
      <c r="C3" t="s">
        <v>57</v>
      </c>
      <c r="D3" t="s">
        <v>58</v>
      </c>
      <c r="E3" t="s">
        <v>59</v>
      </c>
      <c r="F3" t="s">
        <v>60</v>
      </c>
      <c r="G3" s="11" t="s">
        <v>61</v>
      </c>
      <c r="H3" s="11">
        <v>1200</v>
      </c>
      <c r="I3" s="11" t="s">
        <v>62</v>
      </c>
      <c r="J3" t="s">
        <v>41</v>
      </c>
      <c r="K3" t="s">
        <v>63</v>
      </c>
      <c r="L3" t="s">
        <v>64</v>
      </c>
      <c r="M3" t="s">
        <v>65</v>
      </c>
      <c r="N3" t="s">
        <v>65</v>
      </c>
      <c r="O3" t="s">
        <v>52</v>
      </c>
      <c r="P3" t="s">
        <v>41</v>
      </c>
      <c r="Q3" t="s">
        <v>63</v>
      </c>
      <c r="R3" t="s">
        <v>66</v>
      </c>
      <c r="S3" t="s">
        <v>67</v>
      </c>
      <c r="T3" t="s">
        <v>67</v>
      </c>
      <c r="U3" t="s">
        <v>49</v>
      </c>
      <c r="V3" t="s">
        <v>41</v>
      </c>
      <c r="W3" t="s">
        <v>41</v>
      </c>
      <c r="X3" t="s">
        <v>53</v>
      </c>
      <c r="Y3" s="8">
        <v>10.199999999999999</v>
      </c>
      <c r="Z3">
        <v>17</v>
      </c>
      <c r="AA3" s="7">
        <v>10.199999999999999</v>
      </c>
      <c r="AB3">
        <v>173.4</v>
      </c>
      <c r="AC3" s="7">
        <v>10.199999999999999</v>
      </c>
      <c r="AD3" s="7">
        <v>21.2</v>
      </c>
      <c r="AE3" s="7" t="s">
        <v>41</v>
      </c>
      <c r="AF3" s="7">
        <v>21.2</v>
      </c>
      <c r="AG3" s="8">
        <v>21.2</v>
      </c>
      <c r="AH3" s="8" t="s">
        <v>41</v>
      </c>
      <c r="AI3" s="8" t="s">
        <v>41</v>
      </c>
      <c r="AJ3" s="8" t="s">
        <v>41</v>
      </c>
      <c r="AK3" s="8" t="s">
        <v>41</v>
      </c>
      <c r="AL3" s="8">
        <v>21.2</v>
      </c>
      <c r="AM3" s="8" t="s">
        <v>41</v>
      </c>
      <c r="AN3" s="27">
        <v>360.4</v>
      </c>
      <c r="AV3" s="36">
        <f t="shared" ref="AV3:AV47" si="0">SUM(AN3:AU3)</f>
        <v>360.4</v>
      </c>
      <c r="AX3" s="25">
        <v>46143</v>
      </c>
      <c r="AY3" s="26" t="s">
        <v>318</v>
      </c>
    </row>
    <row r="4" spans="1:51" x14ac:dyDescent="0.2">
      <c r="A4">
        <v>263</v>
      </c>
      <c r="B4" s="23">
        <v>900618300</v>
      </c>
      <c r="C4" t="s">
        <v>74</v>
      </c>
      <c r="D4" t="s">
        <v>58</v>
      </c>
      <c r="E4" t="s">
        <v>75</v>
      </c>
      <c r="F4" t="s">
        <v>76</v>
      </c>
      <c r="G4" s="11" t="s">
        <v>61</v>
      </c>
      <c r="H4" s="11">
        <v>1200</v>
      </c>
      <c r="I4" s="11" t="s">
        <v>62</v>
      </c>
      <c r="J4" t="s">
        <v>41</v>
      </c>
      <c r="K4" t="s">
        <v>54</v>
      </c>
      <c r="L4" t="s">
        <v>77</v>
      </c>
      <c r="M4" t="s">
        <v>78</v>
      </c>
      <c r="N4" t="s">
        <v>78</v>
      </c>
      <c r="O4" t="s">
        <v>52</v>
      </c>
      <c r="P4" t="s">
        <v>41</v>
      </c>
      <c r="Q4" t="s">
        <v>54</v>
      </c>
      <c r="R4" t="s">
        <v>79</v>
      </c>
      <c r="S4" t="s">
        <v>80</v>
      </c>
      <c r="T4" t="s">
        <v>80</v>
      </c>
      <c r="U4" t="s">
        <v>52</v>
      </c>
      <c r="V4" t="s">
        <v>41</v>
      </c>
      <c r="W4" t="s">
        <v>41</v>
      </c>
      <c r="X4" t="s">
        <v>53</v>
      </c>
      <c r="Y4" s="8">
        <v>6.38</v>
      </c>
      <c r="Z4">
        <v>20</v>
      </c>
      <c r="AA4" s="7">
        <v>13.52</v>
      </c>
      <c r="AB4">
        <v>270.33</v>
      </c>
      <c r="AC4" s="7">
        <v>13.52</v>
      </c>
      <c r="AD4" s="7">
        <v>28.23</v>
      </c>
      <c r="AE4" s="7" t="s">
        <v>41</v>
      </c>
      <c r="AF4" s="7">
        <v>28.23</v>
      </c>
      <c r="AG4" s="8">
        <v>28.23</v>
      </c>
      <c r="AH4" s="8" t="s">
        <v>41</v>
      </c>
      <c r="AI4" s="8" t="s">
        <v>41</v>
      </c>
      <c r="AJ4" s="8" t="s">
        <v>41</v>
      </c>
      <c r="AK4" s="8" t="s">
        <v>41</v>
      </c>
      <c r="AL4" s="8">
        <v>28.23</v>
      </c>
      <c r="AM4" s="8" t="s">
        <v>41</v>
      </c>
      <c r="AN4" s="27">
        <v>564.66999999999996</v>
      </c>
      <c r="AO4" s="24">
        <v>525</v>
      </c>
      <c r="AV4" s="36">
        <f t="shared" si="0"/>
        <v>1089.67</v>
      </c>
      <c r="AX4" s="25">
        <v>46143</v>
      </c>
      <c r="AY4" s="26" t="s">
        <v>318</v>
      </c>
    </row>
    <row r="5" spans="1:51" x14ac:dyDescent="0.2">
      <c r="A5">
        <v>1056</v>
      </c>
      <c r="B5" s="23" t="s">
        <v>86</v>
      </c>
      <c r="C5" t="s">
        <v>82</v>
      </c>
      <c r="D5" t="s">
        <v>83</v>
      </c>
      <c r="E5" t="s">
        <v>84</v>
      </c>
      <c r="F5" t="s">
        <v>85</v>
      </c>
      <c r="G5" s="9" t="s">
        <v>45</v>
      </c>
      <c r="H5" s="9">
        <v>9999</v>
      </c>
      <c r="I5" s="10" t="s">
        <v>46</v>
      </c>
      <c r="J5" s="10" t="s">
        <v>46</v>
      </c>
      <c r="K5" t="s">
        <v>55</v>
      </c>
      <c r="L5" t="s">
        <v>69</v>
      </c>
      <c r="M5" t="s">
        <v>41</v>
      </c>
      <c r="N5" t="s">
        <v>41</v>
      </c>
      <c r="O5" t="s">
        <v>49</v>
      </c>
      <c r="P5" t="s">
        <v>41</v>
      </c>
      <c r="Q5" t="s">
        <v>54</v>
      </c>
      <c r="R5" t="s">
        <v>48</v>
      </c>
      <c r="S5" t="s">
        <v>41</v>
      </c>
      <c r="T5" t="s">
        <v>41</v>
      </c>
      <c r="U5" t="s">
        <v>49</v>
      </c>
      <c r="V5" t="s">
        <v>41</v>
      </c>
      <c r="W5" t="s">
        <v>41</v>
      </c>
      <c r="X5" t="s">
        <v>51</v>
      </c>
      <c r="Y5" s="8">
        <v>6</v>
      </c>
      <c r="Z5">
        <v>17</v>
      </c>
      <c r="AA5" s="7">
        <v>12</v>
      </c>
      <c r="AB5">
        <v>204</v>
      </c>
      <c r="AC5" s="7">
        <v>12</v>
      </c>
      <c r="AD5" s="7">
        <v>12</v>
      </c>
      <c r="AE5" s="7" t="s">
        <v>41</v>
      </c>
      <c r="AF5" s="7">
        <v>12</v>
      </c>
      <c r="AG5" s="8">
        <v>12</v>
      </c>
      <c r="AH5" s="8" t="s">
        <v>41</v>
      </c>
      <c r="AI5" s="8" t="s">
        <v>41</v>
      </c>
      <c r="AJ5" s="8" t="s">
        <v>41</v>
      </c>
      <c r="AK5" s="8" t="s">
        <v>41</v>
      </c>
      <c r="AL5" s="8">
        <v>12</v>
      </c>
      <c r="AM5" s="8" t="s">
        <v>41</v>
      </c>
      <c r="AN5" s="27">
        <v>204</v>
      </c>
      <c r="AV5" s="36">
        <f t="shared" si="0"/>
        <v>204</v>
      </c>
      <c r="AX5" s="25">
        <v>46143</v>
      </c>
      <c r="AY5" s="26" t="s">
        <v>318</v>
      </c>
    </row>
    <row r="6" spans="1:51" x14ac:dyDescent="0.2">
      <c r="A6">
        <v>414</v>
      </c>
      <c r="B6" s="23">
        <v>659625876</v>
      </c>
      <c r="C6" t="s">
        <v>93</v>
      </c>
      <c r="D6" t="s">
        <v>94</v>
      </c>
      <c r="E6" t="s">
        <v>95</v>
      </c>
      <c r="F6" t="s">
        <v>96</v>
      </c>
      <c r="G6" s="11" t="s">
        <v>61</v>
      </c>
      <c r="H6" s="11">
        <v>1200</v>
      </c>
      <c r="I6" s="11" t="s">
        <v>62</v>
      </c>
      <c r="J6" t="s">
        <v>41</v>
      </c>
      <c r="K6" t="s">
        <v>63</v>
      </c>
      <c r="L6" t="s">
        <v>97</v>
      </c>
      <c r="M6" t="s">
        <v>98</v>
      </c>
      <c r="N6" t="s">
        <v>98</v>
      </c>
      <c r="O6" t="s">
        <v>52</v>
      </c>
      <c r="P6" t="s">
        <v>41</v>
      </c>
      <c r="Q6" t="s">
        <v>63</v>
      </c>
      <c r="R6" t="s">
        <v>66</v>
      </c>
      <c r="S6" t="s">
        <v>65</v>
      </c>
      <c r="T6" t="s">
        <v>65</v>
      </c>
      <c r="U6" t="s">
        <v>49</v>
      </c>
      <c r="V6" t="s">
        <v>41</v>
      </c>
      <c r="W6" t="s">
        <v>41</v>
      </c>
      <c r="X6" t="s">
        <v>53</v>
      </c>
      <c r="Y6" s="8">
        <v>10.5</v>
      </c>
      <c r="Z6">
        <v>30</v>
      </c>
      <c r="AA6" s="7">
        <v>10.5</v>
      </c>
      <c r="AB6">
        <v>315</v>
      </c>
      <c r="AC6" s="7">
        <v>10.5</v>
      </c>
      <c r="AD6" s="7">
        <v>50.17</v>
      </c>
      <c r="AE6" s="7" t="s">
        <v>41</v>
      </c>
      <c r="AF6" s="7">
        <v>50.17</v>
      </c>
      <c r="AG6" s="8">
        <v>50.17</v>
      </c>
      <c r="AH6" s="8" t="s">
        <v>41</v>
      </c>
      <c r="AI6" s="8" t="s">
        <v>41</v>
      </c>
      <c r="AJ6" s="8" t="s">
        <v>41</v>
      </c>
      <c r="AK6" s="8" t="s">
        <v>41</v>
      </c>
      <c r="AL6" s="8">
        <v>50.17</v>
      </c>
      <c r="AM6" s="8" t="s">
        <v>41</v>
      </c>
      <c r="AN6" s="27">
        <v>1505</v>
      </c>
      <c r="AV6" s="36">
        <f t="shared" si="0"/>
        <v>1505</v>
      </c>
      <c r="AX6" s="25">
        <v>46143</v>
      </c>
      <c r="AY6" s="26" t="s">
        <v>318</v>
      </c>
    </row>
    <row r="7" spans="1:51" x14ac:dyDescent="0.2">
      <c r="A7">
        <v>361</v>
      </c>
      <c r="B7" s="17">
        <v>336535256</v>
      </c>
      <c r="C7" t="s">
        <v>89</v>
      </c>
      <c r="D7" t="s">
        <v>90</v>
      </c>
      <c r="E7" t="s">
        <v>91</v>
      </c>
      <c r="F7" t="s">
        <v>92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B7" t="s">
        <v>41</v>
      </c>
      <c r="AC7" s="7" t="s">
        <v>41</v>
      </c>
      <c r="AD7" s="7" t="s">
        <v>41</v>
      </c>
      <c r="AG7" s="8" t="s">
        <v>41</v>
      </c>
      <c r="AH7" s="8" t="s">
        <v>41</v>
      </c>
      <c r="AI7" s="8" t="s">
        <v>41</v>
      </c>
      <c r="AJ7" s="8" t="s">
        <v>41</v>
      </c>
      <c r="AK7" s="8" t="s">
        <v>41</v>
      </c>
      <c r="AL7" s="8" t="s">
        <v>41</v>
      </c>
      <c r="AM7" s="8" t="s">
        <v>41</v>
      </c>
      <c r="AN7" s="27">
        <v>0</v>
      </c>
      <c r="AQ7" s="24">
        <v>200</v>
      </c>
      <c r="AU7" s="24"/>
      <c r="AV7" s="36">
        <f t="shared" si="0"/>
        <v>200</v>
      </c>
      <c r="AW7" t="s">
        <v>320</v>
      </c>
      <c r="AX7" s="25">
        <v>46143</v>
      </c>
      <c r="AY7" s="26" t="s">
        <v>318</v>
      </c>
    </row>
    <row r="8" spans="1:51" x14ac:dyDescent="0.2">
      <c r="A8">
        <v>987</v>
      </c>
      <c r="B8" s="23">
        <v>0</v>
      </c>
      <c r="C8" t="s">
        <v>93</v>
      </c>
      <c r="D8" t="s">
        <v>104</v>
      </c>
      <c r="E8" t="s">
        <v>105</v>
      </c>
      <c r="F8" t="s">
        <v>106</v>
      </c>
      <c r="G8" s="14" t="s">
        <v>107</v>
      </c>
      <c r="H8" s="14">
        <v>1060</v>
      </c>
      <c r="I8" s="14" t="s">
        <v>108</v>
      </c>
      <c r="J8" t="s">
        <v>41</v>
      </c>
      <c r="K8" t="s">
        <v>109</v>
      </c>
      <c r="L8" t="s">
        <v>110</v>
      </c>
      <c r="M8" t="s">
        <v>111</v>
      </c>
      <c r="N8" t="s">
        <v>112</v>
      </c>
      <c r="O8" t="s">
        <v>49</v>
      </c>
      <c r="P8" t="s">
        <v>41</v>
      </c>
      <c r="Q8" t="s">
        <v>109</v>
      </c>
      <c r="R8" t="s">
        <v>70</v>
      </c>
      <c r="S8" t="s">
        <v>113</v>
      </c>
      <c r="T8" t="s">
        <v>113</v>
      </c>
      <c r="U8" t="s">
        <v>49</v>
      </c>
      <c r="V8" t="s">
        <v>41</v>
      </c>
      <c r="W8" t="s">
        <v>41</v>
      </c>
      <c r="X8" t="s">
        <v>53</v>
      </c>
      <c r="Y8" s="8">
        <v>6.38</v>
      </c>
      <c r="Z8">
        <v>17</v>
      </c>
      <c r="AA8" s="7">
        <v>6.38</v>
      </c>
      <c r="AB8">
        <v>108.52</v>
      </c>
      <c r="AC8" s="7">
        <v>6.38</v>
      </c>
      <c r="AD8" s="7">
        <v>42.08</v>
      </c>
      <c r="AE8" s="7" t="s">
        <v>41</v>
      </c>
      <c r="AF8" s="7">
        <v>42.08</v>
      </c>
      <c r="AG8" s="8">
        <v>42.08</v>
      </c>
      <c r="AH8" s="8" t="s">
        <v>41</v>
      </c>
      <c r="AI8" s="8" t="s">
        <v>41</v>
      </c>
      <c r="AJ8" s="8" t="s">
        <v>41</v>
      </c>
      <c r="AK8" s="8" t="s">
        <v>41</v>
      </c>
      <c r="AL8" s="8">
        <v>42.08</v>
      </c>
      <c r="AM8" s="8" t="s">
        <v>41</v>
      </c>
      <c r="AN8" s="27">
        <v>715.42</v>
      </c>
      <c r="AV8" s="36">
        <f t="shared" si="0"/>
        <v>715.42</v>
      </c>
      <c r="AX8" s="25">
        <v>46143</v>
      </c>
      <c r="AY8" s="26" t="s">
        <v>318</v>
      </c>
    </row>
    <row r="9" spans="1:51" x14ac:dyDescent="0.2">
      <c r="A9">
        <v>308</v>
      </c>
      <c r="B9" s="23">
        <v>930726181</v>
      </c>
      <c r="C9" t="s">
        <v>116</v>
      </c>
      <c r="D9" t="s">
        <v>117</v>
      </c>
      <c r="E9" t="s">
        <v>118</v>
      </c>
      <c r="F9" t="s">
        <v>119</v>
      </c>
      <c r="G9" s="9" t="s">
        <v>45</v>
      </c>
      <c r="H9" s="9">
        <v>9999</v>
      </c>
      <c r="I9" s="10" t="s">
        <v>46</v>
      </c>
      <c r="J9" s="10" t="s">
        <v>46</v>
      </c>
      <c r="K9" t="s">
        <v>55</v>
      </c>
      <c r="L9" t="s">
        <v>77</v>
      </c>
      <c r="M9" t="s">
        <v>41</v>
      </c>
      <c r="N9" t="s">
        <v>41</v>
      </c>
      <c r="O9" t="s">
        <v>49</v>
      </c>
      <c r="P9" t="s">
        <v>41</v>
      </c>
      <c r="Q9" t="s">
        <v>55</v>
      </c>
      <c r="R9" t="s">
        <v>70</v>
      </c>
      <c r="S9" t="s">
        <v>41</v>
      </c>
      <c r="T9" t="s">
        <v>41</v>
      </c>
      <c r="U9" t="s">
        <v>49</v>
      </c>
      <c r="V9" t="s">
        <v>41</v>
      </c>
      <c r="W9" t="s">
        <v>41</v>
      </c>
      <c r="X9" t="s">
        <v>51</v>
      </c>
      <c r="Y9" s="8">
        <v>8.5</v>
      </c>
      <c r="Z9">
        <v>26</v>
      </c>
      <c r="AA9" s="7">
        <v>17</v>
      </c>
      <c r="AB9">
        <v>442</v>
      </c>
      <c r="AC9" s="7">
        <v>17</v>
      </c>
      <c r="AD9" s="7">
        <v>17</v>
      </c>
      <c r="AE9" s="7" t="s">
        <v>41</v>
      </c>
      <c r="AF9" s="7">
        <v>17</v>
      </c>
      <c r="AG9" s="8">
        <v>17</v>
      </c>
      <c r="AH9" s="8" t="s">
        <v>41</v>
      </c>
      <c r="AI9" s="8" t="s">
        <v>41</v>
      </c>
      <c r="AJ9" s="8" t="s">
        <v>41</v>
      </c>
      <c r="AK9" s="8" t="s">
        <v>41</v>
      </c>
      <c r="AL9" s="8">
        <v>17</v>
      </c>
      <c r="AM9" s="8" t="s">
        <v>41</v>
      </c>
      <c r="AN9" s="27">
        <v>442</v>
      </c>
      <c r="AV9" s="36">
        <f t="shared" si="0"/>
        <v>442</v>
      </c>
      <c r="AX9" s="25">
        <v>46143</v>
      </c>
      <c r="AY9" s="26" t="s">
        <v>318</v>
      </c>
    </row>
    <row r="10" spans="1:51" x14ac:dyDescent="0.2">
      <c r="A10">
        <v>1059</v>
      </c>
      <c r="B10" s="23">
        <v>0</v>
      </c>
      <c r="C10" t="s">
        <v>120</v>
      </c>
      <c r="D10" t="s">
        <v>121</v>
      </c>
      <c r="E10" t="s">
        <v>122</v>
      </c>
      <c r="F10" t="s">
        <v>123</v>
      </c>
      <c r="G10" s="9" t="s">
        <v>45</v>
      </c>
      <c r="H10" s="9">
        <v>9999</v>
      </c>
      <c r="I10" s="10" t="s">
        <v>46</v>
      </c>
      <c r="J10" s="10" t="s">
        <v>46</v>
      </c>
      <c r="K10" t="s">
        <v>54</v>
      </c>
      <c r="L10" t="s">
        <v>48</v>
      </c>
      <c r="M10" t="s">
        <v>41</v>
      </c>
      <c r="N10" t="s">
        <v>41</v>
      </c>
      <c r="O10" t="s">
        <v>49</v>
      </c>
      <c r="P10" t="s">
        <v>41</v>
      </c>
      <c r="Q10" t="s">
        <v>54</v>
      </c>
      <c r="R10" t="s">
        <v>124</v>
      </c>
      <c r="S10" t="s">
        <v>41</v>
      </c>
      <c r="T10" t="s">
        <v>41</v>
      </c>
      <c r="U10" t="s">
        <v>49</v>
      </c>
      <c r="V10" t="s">
        <v>41</v>
      </c>
      <c r="W10" t="s">
        <v>41</v>
      </c>
      <c r="X10" t="s">
        <v>51</v>
      </c>
      <c r="Y10" s="8">
        <v>2.25</v>
      </c>
      <c r="Z10">
        <v>17</v>
      </c>
      <c r="AA10" s="7">
        <v>2.25</v>
      </c>
      <c r="AB10">
        <v>38.25</v>
      </c>
      <c r="AC10" s="7">
        <v>2.25</v>
      </c>
      <c r="AD10" s="7">
        <v>16.5</v>
      </c>
      <c r="AE10" s="7" t="s">
        <v>41</v>
      </c>
      <c r="AF10" s="7">
        <v>16.5</v>
      </c>
      <c r="AG10" s="8">
        <v>16.5</v>
      </c>
      <c r="AH10" s="8" t="s">
        <v>41</v>
      </c>
      <c r="AI10" s="8" t="s">
        <v>41</v>
      </c>
      <c r="AJ10" s="8" t="s">
        <v>41</v>
      </c>
      <c r="AK10" s="8" t="s">
        <v>41</v>
      </c>
      <c r="AL10" s="8">
        <v>16.5</v>
      </c>
      <c r="AM10" s="8" t="s">
        <v>41</v>
      </c>
      <c r="AN10" s="27">
        <v>280.5</v>
      </c>
      <c r="AV10" s="36">
        <f t="shared" si="0"/>
        <v>280.5</v>
      </c>
      <c r="AX10" s="25">
        <v>46143</v>
      </c>
      <c r="AY10" s="26" t="s">
        <v>318</v>
      </c>
    </row>
    <row r="11" spans="1:51" x14ac:dyDescent="0.2">
      <c r="A11">
        <v>766</v>
      </c>
      <c r="B11" s="23">
        <v>650922704</v>
      </c>
      <c r="C11" t="s">
        <v>125</v>
      </c>
      <c r="D11" t="s">
        <v>126</v>
      </c>
      <c r="E11" t="s">
        <v>127</v>
      </c>
      <c r="F11" t="s">
        <v>128</v>
      </c>
      <c r="G11" s="9" t="s">
        <v>45</v>
      </c>
      <c r="H11" s="9">
        <v>9999</v>
      </c>
      <c r="I11" s="10" t="s">
        <v>46</v>
      </c>
      <c r="J11" s="10" t="s">
        <v>46</v>
      </c>
      <c r="K11" t="s">
        <v>47</v>
      </c>
      <c r="L11" t="s">
        <v>48</v>
      </c>
      <c r="M11" t="s">
        <v>41</v>
      </c>
      <c r="N11" t="s">
        <v>41</v>
      </c>
      <c r="O11" t="s">
        <v>49</v>
      </c>
      <c r="P11" t="s">
        <v>41</v>
      </c>
      <c r="Q11" t="s">
        <v>47</v>
      </c>
      <c r="R11" t="s">
        <v>129</v>
      </c>
      <c r="S11" t="s">
        <v>41</v>
      </c>
      <c r="T11" t="s">
        <v>41</v>
      </c>
      <c r="U11" t="s">
        <v>49</v>
      </c>
      <c r="V11" t="s">
        <v>41</v>
      </c>
      <c r="W11" t="s">
        <v>41</v>
      </c>
      <c r="X11" t="s">
        <v>51</v>
      </c>
      <c r="Y11" s="8">
        <v>0.5</v>
      </c>
      <c r="Z11">
        <v>17</v>
      </c>
      <c r="AA11" s="7">
        <v>0.5</v>
      </c>
      <c r="AB11">
        <v>8.5</v>
      </c>
      <c r="AC11" s="7">
        <v>0.5</v>
      </c>
      <c r="AD11" s="7">
        <v>22.97</v>
      </c>
      <c r="AE11" s="7" t="s">
        <v>41</v>
      </c>
      <c r="AF11" s="7">
        <v>22.97</v>
      </c>
      <c r="AG11" s="8">
        <v>22.97</v>
      </c>
      <c r="AH11" s="8" t="s">
        <v>41</v>
      </c>
      <c r="AI11" s="8" t="s">
        <v>41</v>
      </c>
      <c r="AJ11" s="8" t="s">
        <v>41</v>
      </c>
      <c r="AK11" s="8" t="s">
        <v>41</v>
      </c>
      <c r="AL11" s="8">
        <v>22.97</v>
      </c>
      <c r="AM11" s="8" t="s">
        <v>41</v>
      </c>
      <c r="AN11" s="27">
        <v>390.43</v>
      </c>
      <c r="AV11" s="36">
        <f t="shared" si="0"/>
        <v>390.43</v>
      </c>
      <c r="AX11" s="25">
        <v>46143</v>
      </c>
      <c r="AY11" s="26" t="s">
        <v>318</v>
      </c>
    </row>
    <row r="12" spans="1:51" x14ac:dyDescent="0.2">
      <c r="A12">
        <v>1018</v>
      </c>
      <c r="B12" s="23">
        <v>0</v>
      </c>
      <c r="C12" t="s">
        <v>131</v>
      </c>
      <c r="D12" t="s">
        <v>132</v>
      </c>
      <c r="E12" t="s">
        <v>133</v>
      </c>
      <c r="F12" t="s">
        <v>134</v>
      </c>
      <c r="G12" s="9" t="s">
        <v>45</v>
      </c>
      <c r="H12" s="9">
        <v>9999</v>
      </c>
      <c r="I12" s="10" t="s">
        <v>46</v>
      </c>
      <c r="J12" s="10" t="s">
        <v>46</v>
      </c>
      <c r="K12" t="s">
        <v>54</v>
      </c>
      <c r="L12" t="s">
        <v>48</v>
      </c>
      <c r="M12" t="s">
        <v>41</v>
      </c>
      <c r="N12" t="s">
        <v>41</v>
      </c>
      <c r="O12" t="s">
        <v>49</v>
      </c>
      <c r="P12" t="s">
        <v>41</v>
      </c>
      <c r="Q12" t="s">
        <v>54</v>
      </c>
      <c r="R12" t="s">
        <v>114</v>
      </c>
      <c r="S12" t="s">
        <v>41</v>
      </c>
      <c r="T12" t="s">
        <v>41</v>
      </c>
      <c r="U12" t="s">
        <v>49</v>
      </c>
      <c r="V12" t="s">
        <v>41</v>
      </c>
      <c r="W12" t="s">
        <v>41</v>
      </c>
      <c r="X12" t="s">
        <v>51</v>
      </c>
      <c r="Y12" s="8">
        <v>5</v>
      </c>
      <c r="Z12">
        <v>15</v>
      </c>
      <c r="AA12" s="7">
        <v>5</v>
      </c>
      <c r="AB12">
        <v>75</v>
      </c>
      <c r="AC12" s="7">
        <v>5</v>
      </c>
      <c r="AD12" s="7">
        <v>22</v>
      </c>
      <c r="AE12" s="7" t="s">
        <v>41</v>
      </c>
      <c r="AF12" s="7">
        <v>22</v>
      </c>
      <c r="AG12" s="8">
        <v>22</v>
      </c>
      <c r="AH12" s="8" t="s">
        <v>41</v>
      </c>
      <c r="AI12" s="8" t="s">
        <v>41</v>
      </c>
      <c r="AJ12" s="8" t="s">
        <v>41</v>
      </c>
      <c r="AK12" s="8" t="s">
        <v>41</v>
      </c>
      <c r="AL12" s="8">
        <v>22</v>
      </c>
      <c r="AM12" s="8" t="s">
        <v>41</v>
      </c>
      <c r="AN12" s="27">
        <v>330</v>
      </c>
      <c r="AV12" s="36">
        <f t="shared" si="0"/>
        <v>330</v>
      </c>
      <c r="AX12" s="25">
        <v>46143</v>
      </c>
      <c r="AY12" s="26" t="s">
        <v>318</v>
      </c>
    </row>
    <row r="13" spans="1:51" x14ac:dyDescent="0.2">
      <c r="A13">
        <v>1062</v>
      </c>
      <c r="B13" s="23">
        <v>4006</v>
      </c>
      <c r="C13" t="s">
        <v>135</v>
      </c>
      <c r="D13" t="s">
        <v>136</v>
      </c>
      <c r="E13" t="s">
        <v>137</v>
      </c>
      <c r="F13" t="s">
        <v>138</v>
      </c>
      <c r="G13" s="9" t="s">
        <v>45</v>
      </c>
      <c r="H13" s="9">
        <v>9999</v>
      </c>
      <c r="I13" s="10" t="s">
        <v>46</v>
      </c>
      <c r="J13" s="10" t="s">
        <v>46</v>
      </c>
      <c r="K13" t="s">
        <v>55</v>
      </c>
      <c r="L13" t="s">
        <v>69</v>
      </c>
      <c r="M13" t="s">
        <v>41</v>
      </c>
      <c r="N13" t="s">
        <v>41</v>
      </c>
      <c r="O13" t="s">
        <v>49</v>
      </c>
      <c r="P13" t="s">
        <v>41</v>
      </c>
      <c r="Q13" t="s">
        <v>55</v>
      </c>
      <c r="R13" t="s">
        <v>103</v>
      </c>
      <c r="S13" t="s">
        <v>41</v>
      </c>
      <c r="T13" t="s">
        <v>41</v>
      </c>
      <c r="U13" t="s">
        <v>49</v>
      </c>
      <c r="V13" t="s">
        <v>41</v>
      </c>
      <c r="W13" t="s">
        <v>41</v>
      </c>
      <c r="X13" t="s">
        <v>51</v>
      </c>
      <c r="Y13" s="8">
        <v>5</v>
      </c>
      <c r="Z13">
        <v>15</v>
      </c>
      <c r="AA13" s="7">
        <v>10</v>
      </c>
      <c r="AB13">
        <v>150</v>
      </c>
      <c r="AC13" s="7">
        <v>10</v>
      </c>
      <c r="AD13" s="7">
        <v>10</v>
      </c>
      <c r="AE13" s="7" t="s">
        <v>41</v>
      </c>
      <c r="AF13" s="7">
        <v>10</v>
      </c>
      <c r="AG13" s="8">
        <v>10</v>
      </c>
      <c r="AH13" s="8" t="s">
        <v>41</v>
      </c>
      <c r="AI13" s="8" t="s">
        <v>41</v>
      </c>
      <c r="AJ13" s="8" t="s">
        <v>41</v>
      </c>
      <c r="AK13" s="8" t="s">
        <v>41</v>
      </c>
      <c r="AL13" s="8">
        <v>10</v>
      </c>
      <c r="AM13" s="8" t="s">
        <v>41</v>
      </c>
      <c r="AN13" s="27">
        <v>150</v>
      </c>
      <c r="AV13" s="36">
        <f t="shared" si="0"/>
        <v>150</v>
      </c>
      <c r="AX13" s="25">
        <v>46143</v>
      </c>
      <c r="AY13" s="26" t="s">
        <v>318</v>
      </c>
    </row>
    <row r="14" spans="1:51" x14ac:dyDescent="0.2">
      <c r="A14">
        <v>571</v>
      </c>
      <c r="B14" s="23">
        <v>432887672</v>
      </c>
      <c r="C14" t="s">
        <v>139</v>
      </c>
      <c r="D14" t="s">
        <v>140</v>
      </c>
      <c r="E14" t="s">
        <v>141</v>
      </c>
      <c r="F14" t="s">
        <v>142</v>
      </c>
      <c r="G14" s="12" t="s">
        <v>71</v>
      </c>
      <c r="H14" s="12">
        <v>1010</v>
      </c>
      <c r="I14" s="12" t="s">
        <v>143</v>
      </c>
      <c r="J14" t="s">
        <v>41</v>
      </c>
      <c r="K14" t="s">
        <v>54</v>
      </c>
      <c r="L14" t="s">
        <v>48</v>
      </c>
      <c r="M14" t="s">
        <v>73</v>
      </c>
      <c r="N14" t="s">
        <v>144</v>
      </c>
      <c r="O14" t="s">
        <v>52</v>
      </c>
      <c r="P14" t="s">
        <v>41</v>
      </c>
      <c r="Q14" t="s">
        <v>54</v>
      </c>
      <c r="R14" t="s">
        <v>145</v>
      </c>
      <c r="S14" t="s">
        <v>73</v>
      </c>
      <c r="T14" t="s">
        <v>146</v>
      </c>
      <c r="U14" t="s">
        <v>52</v>
      </c>
      <c r="V14" t="s">
        <v>41</v>
      </c>
      <c r="W14" t="s">
        <v>41</v>
      </c>
      <c r="X14" t="s">
        <v>53</v>
      </c>
      <c r="Y14" s="8">
        <v>5.05</v>
      </c>
      <c r="Z14">
        <v>16</v>
      </c>
      <c r="AA14" s="7" t="s">
        <v>41</v>
      </c>
      <c r="AB14">
        <v>0</v>
      </c>
      <c r="AC14" s="7" t="s">
        <v>41</v>
      </c>
      <c r="AD14" s="7">
        <v>18.05</v>
      </c>
      <c r="AE14" s="7" t="s">
        <v>41</v>
      </c>
      <c r="AF14" s="7">
        <v>18.05</v>
      </c>
      <c r="AG14" s="8">
        <v>18.05</v>
      </c>
      <c r="AH14" s="8" t="s">
        <v>41</v>
      </c>
      <c r="AI14" s="8" t="s">
        <v>41</v>
      </c>
      <c r="AJ14" s="8" t="s">
        <v>41</v>
      </c>
      <c r="AK14" s="8" t="s">
        <v>41</v>
      </c>
      <c r="AL14" s="8">
        <v>18.05</v>
      </c>
      <c r="AM14" s="8" t="s">
        <v>41</v>
      </c>
      <c r="AN14" s="27">
        <v>288.8</v>
      </c>
      <c r="AV14" s="36">
        <f t="shared" si="0"/>
        <v>288.8</v>
      </c>
      <c r="AX14" s="25">
        <v>46143</v>
      </c>
      <c r="AY14" s="26" t="s">
        <v>318</v>
      </c>
    </row>
    <row r="15" spans="1:51" x14ac:dyDescent="0.2">
      <c r="A15">
        <v>451</v>
      </c>
      <c r="B15" s="23">
        <v>435270878</v>
      </c>
      <c r="C15" t="s">
        <v>147</v>
      </c>
      <c r="D15" t="s">
        <v>140</v>
      </c>
      <c r="E15" t="s">
        <v>148</v>
      </c>
      <c r="F15" t="s">
        <v>149</v>
      </c>
      <c r="G15" s="12" t="s">
        <v>71</v>
      </c>
      <c r="H15" s="12">
        <v>1010</v>
      </c>
      <c r="I15" s="12" t="s">
        <v>143</v>
      </c>
      <c r="J15" t="s">
        <v>41</v>
      </c>
      <c r="K15" t="s">
        <v>54</v>
      </c>
      <c r="L15" t="s">
        <v>48</v>
      </c>
      <c r="M15" t="s">
        <v>73</v>
      </c>
      <c r="N15" t="s">
        <v>150</v>
      </c>
      <c r="O15" t="s">
        <v>49</v>
      </c>
      <c r="P15" t="s">
        <v>41</v>
      </c>
      <c r="Q15" t="s">
        <v>54</v>
      </c>
      <c r="R15" t="s">
        <v>151</v>
      </c>
      <c r="S15" t="s">
        <v>73</v>
      </c>
      <c r="T15" t="s">
        <v>150</v>
      </c>
      <c r="U15" t="s">
        <v>52</v>
      </c>
      <c r="V15" t="s">
        <v>41</v>
      </c>
      <c r="W15" t="s">
        <v>41</v>
      </c>
      <c r="X15" t="s">
        <v>53</v>
      </c>
      <c r="Y15" s="8">
        <v>5.0199999999999996</v>
      </c>
      <c r="Z15">
        <v>16</v>
      </c>
      <c r="AA15" s="7">
        <v>5.0199999999999996</v>
      </c>
      <c r="AB15">
        <v>80.27</v>
      </c>
      <c r="AC15" s="7">
        <v>5.0199999999999996</v>
      </c>
      <c r="AD15" s="7">
        <v>18.02</v>
      </c>
      <c r="AE15" s="7" t="s">
        <v>41</v>
      </c>
      <c r="AF15" s="7">
        <v>18.02</v>
      </c>
      <c r="AG15" s="8">
        <v>18.02</v>
      </c>
      <c r="AH15" s="8" t="s">
        <v>41</v>
      </c>
      <c r="AI15" s="8" t="s">
        <v>41</v>
      </c>
      <c r="AJ15" s="8" t="s">
        <v>41</v>
      </c>
      <c r="AK15" s="8" t="s">
        <v>41</v>
      </c>
      <c r="AL15" s="8">
        <v>18.02</v>
      </c>
      <c r="AM15" s="8" t="s">
        <v>41</v>
      </c>
      <c r="AN15" s="27">
        <v>288.27</v>
      </c>
      <c r="AV15" s="36">
        <f t="shared" si="0"/>
        <v>288.27</v>
      </c>
      <c r="AX15" s="25">
        <v>46143</v>
      </c>
      <c r="AY15" s="26" t="s">
        <v>318</v>
      </c>
    </row>
    <row r="16" spans="1:51" x14ac:dyDescent="0.2">
      <c r="A16">
        <v>147</v>
      </c>
      <c r="B16" s="23">
        <v>201821903</v>
      </c>
      <c r="C16" t="s">
        <v>152</v>
      </c>
      <c r="D16" t="s">
        <v>153</v>
      </c>
      <c r="E16" t="s">
        <v>154</v>
      </c>
      <c r="F16" t="s">
        <v>155</v>
      </c>
      <c r="G16" s="12" t="s">
        <v>71</v>
      </c>
      <c r="H16" s="12">
        <v>1010</v>
      </c>
      <c r="I16" s="12" t="s">
        <v>143</v>
      </c>
      <c r="J16" t="s">
        <v>41</v>
      </c>
      <c r="K16" t="s">
        <v>54</v>
      </c>
      <c r="L16" t="s">
        <v>48</v>
      </c>
      <c r="M16" t="s">
        <v>73</v>
      </c>
      <c r="N16" t="s">
        <v>156</v>
      </c>
      <c r="O16" t="s">
        <v>49</v>
      </c>
      <c r="P16" t="s">
        <v>41</v>
      </c>
      <c r="Q16" t="s">
        <v>54</v>
      </c>
      <c r="R16" t="s">
        <v>114</v>
      </c>
      <c r="S16" t="s">
        <v>73</v>
      </c>
      <c r="T16" t="s">
        <v>157</v>
      </c>
      <c r="U16" t="s">
        <v>52</v>
      </c>
      <c r="V16" t="s">
        <v>41</v>
      </c>
      <c r="W16" t="s">
        <v>41</v>
      </c>
      <c r="X16" t="s">
        <v>53</v>
      </c>
      <c r="Y16" s="8">
        <v>5</v>
      </c>
      <c r="Z16">
        <v>16</v>
      </c>
      <c r="AA16" s="7">
        <v>5</v>
      </c>
      <c r="AB16">
        <v>80</v>
      </c>
      <c r="AC16" s="7">
        <v>5</v>
      </c>
      <c r="AD16" s="7">
        <v>21</v>
      </c>
      <c r="AE16" s="7" t="s">
        <v>41</v>
      </c>
      <c r="AF16" s="7">
        <v>21</v>
      </c>
      <c r="AG16" s="8">
        <v>21</v>
      </c>
      <c r="AH16" s="8" t="s">
        <v>41</v>
      </c>
      <c r="AI16" s="8" t="s">
        <v>41</v>
      </c>
      <c r="AJ16" s="8" t="s">
        <v>41</v>
      </c>
      <c r="AK16" s="8" t="s">
        <v>41</v>
      </c>
      <c r="AL16" s="8">
        <v>21</v>
      </c>
      <c r="AM16" s="8" t="s">
        <v>41</v>
      </c>
      <c r="AN16" s="27">
        <v>336</v>
      </c>
      <c r="AV16" s="36">
        <f t="shared" si="0"/>
        <v>336</v>
      </c>
      <c r="AX16" s="25">
        <v>46143</v>
      </c>
      <c r="AY16" s="26" t="s">
        <v>318</v>
      </c>
    </row>
    <row r="17" spans="1:51" x14ac:dyDescent="0.2">
      <c r="A17">
        <v>106</v>
      </c>
      <c r="B17" s="23">
        <v>12418356</v>
      </c>
      <c r="C17" t="s">
        <v>158</v>
      </c>
      <c r="D17" t="s">
        <v>159</v>
      </c>
      <c r="E17" t="s">
        <v>160</v>
      </c>
      <c r="F17" t="s">
        <v>161</v>
      </c>
      <c r="G17" s="9" t="s">
        <v>45</v>
      </c>
      <c r="H17" s="9">
        <v>9999</v>
      </c>
      <c r="I17" s="10" t="s">
        <v>46</v>
      </c>
      <c r="J17" s="10" t="s">
        <v>46</v>
      </c>
      <c r="K17" t="s">
        <v>55</v>
      </c>
      <c r="L17" t="s">
        <v>69</v>
      </c>
      <c r="M17" t="s">
        <v>41</v>
      </c>
      <c r="N17" t="s">
        <v>41</v>
      </c>
      <c r="O17" t="s">
        <v>49</v>
      </c>
      <c r="P17" t="s">
        <v>41</v>
      </c>
      <c r="Q17" t="s">
        <v>55</v>
      </c>
      <c r="R17" t="s">
        <v>103</v>
      </c>
      <c r="S17" t="s">
        <v>41</v>
      </c>
      <c r="T17" t="s">
        <v>41</v>
      </c>
      <c r="U17" t="s">
        <v>49</v>
      </c>
      <c r="V17" t="s">
        <v>41</v>
      </c>
      <c r="W17" t="s">
        <v>41</v>
      </c>
      <c r="X17" t="s">
        <v>51</v>
      </c>
      <c r="Y17" s="8">
        <v>5</v>
      </c>
      <c r="Z17">
        <v>23</v>
      </c>
      <c r="AA17" s="7">
        <v>10</v>
      </c>
      <c r="AB17">
        <v>230</v>
      </c>
      <c r="AC17" s="7">
        <v>10</v>
      </c>
      <c r="AD17" s="7">
        <v>10</v>
      </c>
      <c r="AE17" s="7" t="s">
        <v>41</v>
      </c>
      <c r="AF17" s="7">
        <v>10</v>
      </c>
      <c r="AG17" s="8">
        <v>10</v>
      </c>
      <c r="AH17" s="8" t="s">
        <v>41</v>
      </c>
      <c r="AI17" s="8" t="s">
        <v>41</v>
      </c>
      <c r="AJ17" s="8" t="s">
        <v>41</v>
      </c>
      <c r="AK17" s="8" t="s">
        <v>41</v>
      </c>
      <c r="AL17" s="8">
        <v>10</v>
      </c>
      <c r="AM17" s="8" t="s">
        <v>41</v>
      </c>
      <c r="AN17" s="27">
        <v>230</v>
      </c>
      <c r="AV17" s="36">
        <f t="shared" si="0"/>
        <v>230</v>
      </c>
      <c r="AX17" s="25">
        <v>46143</v>
      </c>
      <c r="AY17" s="26" t="s">
        <v>318</v>
      </c>
    </row>
    <row r="18" spans="1:51" x14ac:dyDescent="0.2">
      <c r="A18">
        <v>915</v>
      </c>
      <c r="B18" s="23">
        <v>956956975</v>
      </c>
      <c r="C18" t="s">
        <v>162</v>
      </c>
      <c r="D18" t="s">
        <v>163</v>
      </c>
      <c r="E18" t="s">
        <v>164</v>
      </c>
      <c r="F18" t="s">
        <v>165</v>
      </c>
      <c r="G18" s="9" t="s">
        <v>45</v>
      </c>
      <c r="H18" s="9">
        <v>9999</v>
      </c>
      <c r="I18" s="10" t="s">
        <v>46</v>
      </c>
      <c r="J18" s="10" t="s">
        <v>46</v>
      </c>
      <c r="K18" t="s">
        <v>55</v>
      </c>
      <c r="L18" t="s">
        <v>69</v>
      </c>
      <c r="M18" t="s">
        <v>41</v>
      </c>
      <c r="N18" t="s">
        <v>41</v>
      </c>
      <c r="O18" t="s">
        <v>49</v>
      </c>
      <c r="P18" t="s">
        <v>41</v>
      </c>
      <c r="Q18" t="s">
        <v>55</v>
      </c>
      <c r="R18" t="s">
        <v>70</v>
      </c>
      <c r="S18" t="s">
        <v>41</v>
      </c>
      <c r="T18" t="s">
        <v>41</v>
      </c>
      <c r="U18" t="s">
        <v>49</v>
      </c>
      <c r="V18" t="s">
        <v>41</v>
      </c>
      <c r="W18" t="s">
        <v>41</v>
      </c>
      <c r="X18" t="s">
        <v>51</v>
      </c>
      <c r="Y18" s="8">
        <v>5.5</v>
      </c>
      <c r="Z18">
        <v>20</v>
      </c>
      <c r="AA18" s="7">
        <v>11</v>
      </c>
      <c r="AB18">
        <v>220</v>
      </c>
      <c r="AC18" s="7">
        <v>11</v>
      </c>
      <c r="AD18" s="7">
        <v>11</v>
      </c>
      <c r="AE18" s="7" t="s">
        <v>41</v>
      </c>
      <c r="AF18" s="7">
        <v>11</v>
      </c>
      <c r="AG18" s="8">
        <v>11</v>
      </c>
      <c r="AH18" s="8" t="s">
        <v>41</v>
      </c>
      <c r="AI18" s="8" t="s">
        <v>41</v>
      </c>
      <c r="AJ18" s="8" t="s">
        <v>41</v>
      </c>
      <c r="AK18" s="8" t="s">
        <v>41</v>
      </c>
      <c r="AL18" s="8">
        <v>11</v>
      </c>
      <c r="AM18" s="8" t="s">
        <v>41</v>
      </c>
      <c r="AN18" s="27">
        <v>220</v>
      </c>
      <c r="AV18" s="36">
        <f t="shared" si="0"/>
        <v>220</v>
      </c>
      <c r="AX18" s="25">
        <v>46143</v>
      </c>
      <c r="AY18" s="26" t="s">
        <v>318</v>
      </c>
    </row>
    <row r="19" spans="1:51" x14ac:dyDescent="0.2">
      <c r="A19">
        <v>372</v>
      </c>
      <c r="B19" s="23">
        <v>56921430</v>
      </c>
      <c r="C19" t="s">
        <v>167</v>
      </c>
      <c r="D19" t="s">
        <v>168</v>
      </c>
      <c r="E19" t="s">
        <v>169</v>
      </c>
      <c r="F19" t="s">
        <v>170</v>
      </c>
      <c r="G19" s="14" t="s">
        <v>107</v>
      </c>
      <c r="H19" s="14">
        <v>1060</v>
      </c>
      <c r="I19" s="14" t="s">
        <v>108</v>
      </c>
      <c r="J19" t="s">
        <v>41</v>
      </c>
      <c r="K19" t="s">
        <v>109</v>
      </c>
      <c r="L19" t="s">
        <v>81</v>
      </c>
      <c r="M19" t="s">
        <v>111</v>
      </c>
      <c r="N19" t="s">
        <v>171</v>
      </c>
      <c r="O19" t="s">
        <v>52</v>
      </c>
      <c r="P19" t="s">
        <v>41</v>
      </c>
      <c r="Q19" t="s">
        <v>109</v>
      </c>
      <c r="R19" t="s">
        <v>70</v>
      </c>
      <c r="S19" t="s">
        <v>111</v>
      </c>
      <c r="T19" t="s">
        <v>172</v>
      </c>
      <c r="U19" t="s">
        <v>49</v>
      </c>
      <c r="V19" t="s">
        <v>41</v>
      </c>
      <c r="W19" t="s">
        <v>41</v>
      </c>
      <c r="X19" t="s">
        <v>53</v>
      </c>
      <c r="Y19" s="8">
        <v>6.48</v>
      </c>
      <c r="Z19">
        <v>25</v>
      </c>
      <c r="AA19" s="7">
        <v>6.48</v>
      </c>
      <c r="AB19">
        <v>162.08000000000001</v>
      </c>
      <c r="AC19" s="7">
        <v>6.48</v>
      </c>
      <c r="AD19" s="7">
        <v>60.13</v>
      </c>
      <c r="AE19" s="7" t="s">
        <v>41</v>
      </c>
      <c r="AF19" s="7">
        <v>60.13</v>
      </c>
      <c r="AG19" s="8">
        <v>60.13</v>
      </c>
      <c r="AH19" s="8" t="s">
        <v>41</v>
      </c>
      <c r="AI19" s="8" t="s">
        <v>41</v>
      </c>
      <c r="AJ19" s="8" t="s">
        <v>41</v>
      </c>
      <c r="AK19" s="8" t="s">
        <v>41</v>
      </c>
      <c r="AL19" s="8">
        <v>60.13</v>
      </c>
      <c r="AM19" s="8" t="s">
        <v>41</v>
      </c>
      <c r="AN19" s="27">
        <v>1503.33</v>
      </c>
      <c r="AP19" s="24">
        <v>100</v>
      </c>
      <c r="AV19" s="36">
        <f t="shared" si="0"/>
        <v>1603.33</v>
      </c>
      <c r="AX19" s="25">
        <v>46143</v>
      </c>
      <c r="AY19" s="26" t="s">
        <v>318</v>
      </c>
    </row>
    <row r="20" spans="1:51" x14ac:dyDescent="0.2">
      <c r="A20">
        <v>146</v>
      </c>
      <c r="B20" s="23">
        <v>114561293</v>
      </c>
      <c r="C20" t="s">
        <v>174</v>
      </c>
      <c r="D20" t="s">
        <v>175</v>
      </c>
      <c r="E20" t="s">
        <v>176</v>
      </c>
      <c r="F20" t="s">
        <v>177</v>
      </c>
      <c r="G20" s="12" t="s">
        <v>71</v>
      </c>
      <c r="H20" s="12">
        <v>1010</v>
      </c>
      <c r="I20" s="12" t="s">
        <v>143</v>
      </c>
      <c r="J20" t="s">
        <v>41</v>
      </c>
      <c r="K20" t="s">
        <v>178</v>
      </c>
      <c r="L20" t="s">
        <v>48</v>
      </c>
      <c r="M20" t="s">
        <v>73</v>
      </c>
      <c r="N20" t="s">
        <v>87</v>
      </c>
      <c r="O20" t="s">
        <v>52</v>
      </c>
      <c r="P20" t="s">
        <v>41</v>
      </c>
      <c r="Q20" t="s">
        <v>178</v>
      </c>
      <c r="R20" t="s">
        <v>179</v>
      </c>
      <c r="S20" t="s">
        <v>73</v>
      </c>
      <c r="T20" t="s">
        <v>87</v>
      </c>
      <c r="U20" t="s">
        <v>49</v>
      </c>
      <c r="V20" t="s">
        <v>41</v>
      </c>
      <c r="W20" t="s">
        <v>41</v>
      </c>
      <c r="X20" t="s">
        <v>53</v>
      </c>
      <c r="Y20" s="8">
        <v>1</v>
      </c>
      <c r="Z20">
        <v>18</v>
      </c>
      <c r="AA20" s="7" t="s">
        <v>41</v>
      </c>
      <c r="AB20">
        <v>0</v>
      </c>
      <c r="AC20" s="7" t="s">
        <v>41</v>
      </c>
      <c r="AD20" s="7">
        <v>9.9499999999999993</v>
      </c>
      <c r="AE20" s="7" t="s">
        <v>41</v>
      </c>
      <c r="AF20" s="7" t="s">
        <v>41</v>
      </c>
      <c r="AG20" s="8">
        <v>9.9499999999999993</v>
      </c>
      <c r="AH20" s="8" t="s">
        <v>41</v>
      </c>
      <c r="AI20" s="8" t="s">
        <v>41</v>
      </c>
      <c r="AJ20" s="8" t="s">
        <v>41</v>
      </c>
      <c r="AK20" s="8" t="s">
        <v>41</v>
      </c>
      <c r="AL20" s="8">
        <v>9.9499999999999993</v>
      </c>
      <c r="AM20" s="8" t="s">
        <v>41</v>
      </c>
      <c r="AN20" s="27">
        <v>179.1</v>
      </c>
      <c r="AV20" s="36">
        <f t="shared" si="0"/>
        <v>179.1</v>
      </c>
      <c r="AX20" s="25">
        <v>46143</v>
      </c>
      <c r="AY20" s="26" t="s">
        <v>318</v>
      </c>
    </row>
    <row r="21" spans="1:51" x14ac:dyDescent="0.2">
      <c r="A21">
        <v>570</v>
      </c>
      <c r="B21" s="23">
        <v>105693062</v>
      </c>
      <c r="C21" t="s">
        <v>180</v>
      </c>
      <c r="D21" t="s">
        <v>181</v>
      </c>
      <c r="E21" t="s">
        <v>182</v>
      </c>
      <c r="F21" t="s">
        <v>183</v>
      </c>
      <c r="G21" s="9" t="s">
        <v>45</v>
      </c>
      <c r="H21" s="9">
        <v>9999</v>
      </c>
      <c r="I21" s="10" t="s">
        <v>46</v>
      </c>
      <c r="J21" s="10" t="s">
        <v>46</v>
      </c>
      <c r="K21" t="s">
        <v>55</v>
      </c>
      <c r="L21" t="s">
        <v>69</v>
      </c>
      <c r="M21" t="s">
        <v>41</v>
      </c>
      <c r="N21" t="s">
        <v>41</v>
      </c>
      <c r="O21" t="s">
        <v>49</v>
      </c>
      <c r="P21" t="s">
        <v>41</v>
      </c>
      <c r="Q21" t="s">
        <v>54</v>
      </c>
      <c r="R21" t="s">
        <v>48</v>
      </c>
      <c r="S21" t="s">
        <v>41</v>
      </c>
      <c r="T21" t="s">
        <v>41</v>
      </c>
      <c r="U21" t="s">
        <v>49</v>
      </c>
      <c r="V21" t="s">
        <v>41</v>
      </c>
      <c r="W21" t="s">
        <v>41</v>
      </c>
      <c r="X21" t="s">
        <v>51</v>
      </c>
      <c r="Y21" s="8">
        <v>6</v>
      </c>
      <c r="Z21">
        <v>15</v>
      </c>
      <c r="AA21" s="7">
        <v>12</v>
      </c>
      <c r="AB21">
        <v>180</v>
      </c>
      <c r="AC21" s="7">
        <v>12</v>
      </c>
      <c r="AD21" s="7">
        <v>12</v>
      </c>
      <c r="AE21" s="7" t="s">
        <v>41</v>
      </c>
      <c r="AF21" s="7">
        <v>12</v>
      </c>
      <c r="AG21" s="8">
        <v>12</v>
      </c>
      <c r="AH21" s="8" t="s">
        <v>41</v>
      </c>
      <c r="AI21" s="8" t="s">
        <v>41</v>
      </c>
      <c r="AJ21" s="8" t="s">
        <v>41</v>
      </c>
      <c r="AK21" s="8" t="s">
        <v>41</v>
      </c>
      <c r="AL21" s="8">
        <v>12</v>
      </c>
      <c r="AM21" s="8" t="s">
        <v>41</v>
      </c>
      <c r="AN21" s="27">
        <v>180</v>
      </c>
      <c r="AV21" s="36">
        <f t="shared" si="0"/>
        <v>180</v>
      </c>
      <c r="AX21" s="25">
        <v>46143</v>
      </c>
      <c r="AY21" s="26" t="s">
        <v>318</v>
      </c>
    </row>
    <row r="22" spans="1:51" x14ac:dyDescent="0.2">
      <c r="A22">
        <v>911</v>
      </c>
      <c r="B22" s="23">
        <v>0</v>
      </c>
      <c r="C22" t="s">
        <v>184</v>
      </c>
      <c r="D22" t="s">
        <v>185</v>
      </c>
      <c r="E22" t="s">
        <v>186</v>
      </c>
      <c r="F22" t="s">
        <v>187</v>
      </c>
      <c r="G22" s="12" t="s">
        <v>71</v>
      </c>
      <c r="H22" s="12">
        <v>1010</v>
      </c>
      <c r="I22" s="12" t="s">
        <v>72</v>
      </c>
      <c r="J22" t="s">
        <v>41</v>
      </c>
      <c r="K22" t="s">
        <v>55</v>
      </c>
      <c r="L22" t="s">
        <v>69</v>
      </c>
      <c r="M22" t="s">
        <v>73</v>
      </c>
      <c r="N22" t="s">
        <v>188</v>
      </c>
      <c r="O22" t="s">
        <v>52</v>
      </c>
      <c r="P22" t="s">
        <v>41</v>
      </c>
      <c r="Q22" t="s">
        <v>55</v>
      </c>
      <c r="R22" t="s">
        <v>70</v>
      </c>
      <c r="S22" t="s">
        <v>73</v>
      </c>
      <c r="T22" t="s">
        <v>115</v>
      </c>
      <c r="U22" t="s">
        <v>49</v>
      </c>
      <c r="V22" t="s">
        <v>41</v>
      </c>
      <c r="W22" t="s">
        <v>41</v>
      </c>
      <c r="X22" t="s">
        <v>53</v>
      </c>
      <c r="Y22" s="8">
        <v>5.5</v>
      </c>
      <c r="Z22">
        <v>15</v>
      </c>
      <c r="AA22" s="7">
        <v>11</v>
      </c>
      <c r="AB22">
        <v>165</v>
      </c>
      <c r="AC22" s="7">
        <v>11</v>
      </c>
      <c r="AD22" s="7">
        <v>11</v>
      </c>
      <c r="AE22" s="7" t="s">
        <v>41</v>
      </c>
      <c r="AF22" s="7">
        <v>11</v>
      </c>
      <c r="AG22" s="8">
        <v>11</v>
      </c>
      <c r="AH22" s="8" t="s">
        <v>41</v>
      </c>
      <c r="AI22" s="8" t="s">
        <v>41</v>
      </c>
      <c r="AJ22" s="8" t="s">
        <v>41</v>
      </c>
      <c r="AK22" s="8" t="s">
        <v>41</v>
      </c>
      <c r="AL22" s="8">
        <v>11</v>
      </c>
      <c r="AM22" s="8" t="s">
        <v>41</v>
      </c>
      <c r="AN22" s="27">
        <v>165</v>
      </c>
      <c r="AV22" s="36">
        <f t="shared" si="0"/>
        <v>165</v>
      </c>
      <c r="AX22" s="25">
        <v>46143</v>
      </c>
      <c r="AY22" s="26" t="s">
        <v>318</v>
      </c>
    </row>
    <row r="23" spans="1:51" x14ac:dyDescent="0.2">
      <c r="A23">
        <v>1061</v>
      </c>
      <c r="B23" s="23" t="s">
        <v>193</v>
      </c>
      <c r="C23" t="s">
        <v>189</v>
      </c>
      <c r="D23" t="s">
        <v>190</v>
      </c>
      <c r="E23" t="s">
        <v>191</v>
      </c>
      <c r="F23" t="s">
        <v>192</v>
      </c>
      <c r="G23" s="12" t="s">
        <v>71</v>
      </c>
      <c r="H23" s="12">
        <v>1010</v>
      </c>
      <c r="I23" s="12" t="s">
        <v>143</v>
      </c>
      <c r="J23" t="s">
        <v>41</v>
      </c>
      <c r="K23" t="s">
        <v>54</v>
      </c>
      <c r="L23" t="s">
        <v>48</v>
      </c>
      <c r="M23" t="s">
        <v>73</v>
      </c>
      <c r="N23" t="s">
        <v>146</v>
      </c>
      <c r="O23" t="s">
        <v>52</v>
      </c>
      <c r="P23" t="s">
        <v>41</v>
      </c>
      <c r="Q23" t="s">
        <v>54</v>
      </c>
      <c r="R23" t="s">
        <v>145</v>
      </c>
      <c r="S23" t="s">
        <v>73</v>
      </c>
      <c r="T23" t="s">
        <v>156</v>
      </c>
      <c r="U23" t="s">
        <v>52</v>
      </c>
      <c r="V23" t="s">
        <v>41</v>
      </c>
      <c r="W23" t="s">
        <v>41</v>
      </c>
      <c r="X23" t="s">
        <v>53</v>
      </c>
      <c r="Y23" s="8">
        <v>5.05</v>
      </c>
      <c r="Z23" t="s">
        <v>41</v>
      </c>
      <c r="AA23" s="7" t="s">
        <v>41</v>
      </c>
      <c r="AB23">
        <v>0</v>
      </c>
      <c r="AC23" s="7" t="s">
        <v>41</v>
      </c>
      <c r="AD23" s="7">
        <v>18</v>
      </c>
      <c r="AE23" s="7" t="s">
        <v>41</v>
      </c>
      <c r="AF23" s="7">
        <v>18</v>
      </c>
      <c r="AG23" s="8">
        <v>18</v>
      </c>
      <c r="AH23" s="8" t="s">
        <v>41</v>
      </c>
      <c r="AI23" s="8" t="s">
        <v>41</v>
      </c>
      <c r="AJ23" s="8" t="s">
        <v>41</v>
      </c>
      <c r="AK23" s="8" t="s">
        <v>41</v>
      </c>
      <c r="AL23" s="8">
        <v>18</v>
      </c>
      <c r="AM23" s="8" t="s">
        <v>41</v>
      </c>
      <c r="AN23" s="27">
        <v>270</v>
      </c>
      <c r="AV23" s="36">
        <f t="shared" si="0"/>
        <v>270</v>
      </c>
      <c r="AX23" s="25">
        <v>46143</v>
      </c>
      <c r="AY23" s="26" t="s">
        <v>318</v>
      </c>
    </row>
    <row r="24" spans="1:51" x14ac:dyDescent="0.2">
      <c r="A24">
        <v>755</v>
      </c>
      <c r="B24" s="23">
        <v>125900751</v>
      </c>
      <c r="C24" t="s">
        <v>195</v>
      </c>
      <c r="D24" t="s">
        <v>196</v>
      </c>
      <c r="E24" t="s">
        <v>197</v>
      </c>
      <c r="F24" t="s">
        <v>198</v>
      </c>
      <c r="G24" s="14" t="s">
        <v>107</v>
      </c>
      <c r="H24" s="14">
        <v>1060</v>
      </c>
      <c r="I24" s="14" t="s">
        <v>108</v>
      </c>
      <c r="J24" t="s">
        <v>41</v>
      </c>
      <c r="K24" t="s">
        <v>109</v>
      </c>
      <c r="L24" t="s">
        <v>81</v>
      </c>
      <c r="M24" t="s">
        <v>111</v>
      </c>
      <c r="N24" t="s">
        <v>173</v>
      </c>
      <c r="O24" t="s">
        <v>52</v>
      </c>
      <c r="P24" t="s">
        <v>41</v>
      </c>
      <c r="Q24" t="s">
        <v>109</v>
      </c>
      <c r="R24" t="s">
        <v>70</v>
      </c>
      <c r="S24" t="s">
        <v>111</v>
      </c>
      <c r="T24" t="s">
        <v>199</v>
      </c>
      <c r="U24" t="s">
        <v>49</v>
      </c>
      <c r="V24" t="s">
        <v>41</v>
      </c>
      <c r="W24" t="s">
        <v>41</v>
      </c>
      <c r="X24" t="s">
        <v>53</v>
      </c>
      <c r="Y24" s="8">
        <v>6.48</v>
      </c>
      <c r="Z24">
        <v>20</v>
      </c>
      <c r="AA24" s="7">
        <v>6.48</v>
      </c>
      <c r="AB24">
        <v>129.66999999999999</v>
      </c>
      <c r="AC24" s="7">
        <v>6.48</v>
      </c>
      <c r="AD24" s="7">
        <v>56.18</v>
      </c>
      <c r="AE24" s="7" t="s">
        <v>41</v>
      </c>
      <c r="AF24" s="7">
        <v>56.18</v>
      </c>
      <c r="AG24" s="8">
        <v>56.18</v>
      </c>
      <c r="AH24" s="8" t="s">
        <v>41</v>
      </c>
      <c r="AI24" s="8" t="s">
        <v>41</v>
      </c>
      <c r="AJ24" s="8" t="s">
        <v>41</v>
      </c>
      <c r="AK24" s="8" t="s">
        <v>41</v>
      </c>
      <c r="AL24" s="8">
        <v>56.18</v>
      </c>
      <c r="AM24" s="8" t="s">
        <v>41</v>
      </c>
      <c r="AN24" s="27">
        <v>1123.67</v>
      </c>
      <c r="AV24" s="36">
        <f t="shared" si="0"/>
        <v>1123.67</v>
      </c>
      <c r="AX24" s="25">
        <v>46143</v>
      </c>
      <c r="AY24" s="26" t="s">
        <v>318</v>
      </c>
    </row>
    <row r="25" spans="1:51" x14ac:dyDescent="0.2">
      <c r="A25">
        <v>1023</v>
      </c>
      <c r="B25" s="23">
        <v>0</v>
      </c>
      <c r="C25" t="s">
        <v>200</v>
      </c>
      <c r="D25" t="s">
        <v>201</v>
      </c>
      <c r="E25" t="s">
        <v>202</v>
      </c>
      <c r="F25" t="s">
        <v>203</v>
      </c>
      <c r="G25" s="9" t="s">
        <v>45</v>
      </c>
      <c r="H25" s="9">
        <v>9999</v>
      </c>
      <c r="I25" s="10" t="s">
        <v>46</v>
      </c>
      <c r="J25" s="10" t="s">
        <v>46</v>
      </c>
      <c r="K25" t="s">
        <v>55</v>
      </c>
      <c r="L25" t="s">
        <v>69</v>
      </c>
      <c r="M25" t="s">
        <v>41</v>
      </c>
      <c r="N25" t="s">
        <v>41</v>
      </c>
      <c r="O25" t="s">
        <v>49</v>
      </c>
      <c r="P25" t="s">
        <v>41</v>
      </c>
      <c r="Q25" t="s">
        <v>55</v>
      </c>
      <c r="R25" t="s">
        <v>103</v>
      </c>
      <c r="S25" t="s">
        <v>41</v>
      </c>
      <c r="T25" t="s">
        <v>41</v>
      </c>
      <c r="U25" t="s">
        <v>49</v>
      </c>
      <c r="V25" t="s">
        <v>41</v>
      </c>
      <c r="W25" t="s">
        <v>41</v>
      </c>
      <c r="X25" t="s">
        <v>51</v>
      </c>
      <c r="Y25" s="8">
        <v>5</v>
      </c>
      <c r="Z25">
        <v>15</v>
      </c>
      <c r="AA25" s="7">
        <v>10</v>
      </c>
      <c r="AB25">
        <v>150</v>
      </c>
      <c r="AC25" s="7">
        <v>10</v>
      </c>
      <c r="AD25" s="7">
        <v>10</v>
      </c>
      <c r="AE25" s="7" t="s">
        <v>41</v>
      </c>
      <c r="AF25" s="7">
        <v>10</v>
      </c>
      <c r="AG25" s="8">
        <v>10</v>
      </c>
      <c r="AH25" s="8" t="s">
        <v>41</v>
      </c>
      <c r="AI25" s="8" t="s">
        <v>41</v>
      </c>
      <c r="AJ25" s="8" t="s">
        <v>41</v>
      </c>
      <c r="AK25" s="8" t="s">
        <v>41</v>
      </c>
      <c r="AL25" s="8">
        <v>10</v>
      </c>
      <c r="AM25" s="8" t="s">
        <v>41</v>
      </c>
      <c r="AN25" s="27">
        <v>150</v>
      </c>
      <c r="AV25" s="36">
        <f t="shared" si="0"/>
        <v>150</v>
      </c>
      <c r="AX25" s="25">
        <v>46143</v>
      </c>
      <c r="AY25" s="26" t="s">
        <v>318</v>
      </c>
    </row>
    <row r="26" spans="1:51" x14ac:dyDescent="0.2">
      <c r="A26">
        <v>104</v>
      </c>
      <c r="B26" s="23">
        <v>973970250</v>
      </c>
      <c r="C26" t="s">
        <v>204</v>
      </c>
      <c r="D26" t="s">
        <v>205</v>
      </c>
      <c r="E26" t="s">
        <v>206</v>
      </c>
      <c r="F26" t="s">
        <v>207</v>
      </c>
      <c r="G26" s="9" t="s">
        <v>45</v>
      </c>
      <c r="H26" s="9">
        <v>9999</v>
      </c>
      <c r="I26" s="10" t="s">
        <v>46</v>
      </c>
      <c r="J26" s="10" t="s">
        <v>46</v>
      </c>
      <c r="K26" t="s">
        <v>55</v>
      </c>
      <c r="L26" t="s">
        <v>77</v>
      </c>
      <c r="M26" t="s">
        <v>41</v>
      </c>
      <c r="N26" t="s">
        <v>41</v>
      </c>
      <c r="O26" t="s">
        <v>49</v>
      </c>
      <c r="P26" t="s">
        <v>41</v>
      </c>
      <c r="Q26" t="s">
        <v>55</v>
      </c>
      <c r="R26" t="s">
        <v>70</v>
      </c>
      <c r="S26" t="s">
        <v>41</v>
      </c>
      <c r="T26" t="s">
        <v>41</v>
      </c>
      <c r="U26" t="s">
        <v>49</v>
      </c>
      <c r="V26" t="s">
        <v>41</v>
      </c>
      <c r="W26" t="s">
        <v>41</v>
      </c>
      <c r="X26" t="s">
        <v>51</v>
      </c>
      <c r="Y26" s="8">
        <v>8.5</v>
      </c>
      <c r="Z26">
        <v>30</v>
      </c>
      <c r="AA26" s="7">
        <v>17</v>
      </c>
      <c r="AB26">
        <v>510</v>
      </c>
      <c r="AC26" s="7">
        <v>17</v>
      </c>
      <c r="AD26" s="7">
        <v>17</v>
      </c>
      <c r="AE26" s="7" t="s">
        <v>41</v>
      </c>
      <c r="AF26" s="7">
        <v>17</v>
      </c>
      <c r="AG26" s="8">
        <v>17</v>
      </c>
      <c r="AH26" s="8" t="s">
        <v>41</v>
      </c>
      <c r="AI26" s="8" t="s">
        <v>41</v>
      </c>
      <c r="AJ26" s="8" t="s">
        <v>41</v>
      </c>
      <c r="AK26" s="8" t="s">
        <v>41</v>
      </c>
      <c r="AL26" s="8">
        <v>17</v>
      </c>
      <c r="AM26" s="8" t="s">
        <v>41</v>
      </c>
      <c r="AN26" s="27">
        <v>510</v>
      </c>
      <c r="AR26" s="38"/>
      <c r="AV26" s="36">
        <f t="shared" si="0"/>
        <v>510</v>
      </c>
      <c r="AX26" s="25">
        <v>46143</v>
      </c>
      <c r="AY26" s="26" t="s">
        <v>318</v>
      </c>
    </row>
    <row r="27" spans="1:51" x14ac:dyDescent="0.2">
      <c r="A27">
        <v>591</v>
      </c>
      <c r="B27" s="23">
        <v>362698958</v>
      </c>
      <c r="C27" t="s">
        <v>208</v>
      </c>
      <c r="D27" t="s">
        <v>194</v>
      </c>
      <c r="E27" t="s">
        <v>209</v>
      </c>
      <c r="F27" t="s">
        <v>210</v>
      </c>
      <c r="G27" s="13" t="s">
        <v>99</v>
      </c>
      <c r="H27" s="13">
        <v>1230</v>
      </c>
      <c r="I27" s="13" t="s">
        <v>100</v>
      </c>
      <c r="J27" t="s">
        <v>41</v>
      </c>
      <c r="K27" t="s">
        <v>101</v>
      </c>
      <c r="L27" t="s">
        <v>102</v>
      </c>
      <c r="M27" t="s">
        <v>211</v>
      </c>
      <c r="N27" t="s">
        <v>211</v>
      </c>
      <c r="O27" t="s">
        <v>52</v>
      </c>
      <c r="P27" t="s">
        <v>41</v>
      </c>
      <c r="Q27" t="s">
        <v>101</v>
      </c>
      <c r="R27" t="s">
        <v>77</v>
      </c>
      <c r="S27" t="s">
        <v>212</v>
      </c>
      <c r="T27" t="s">
        <v>212</v>
      </c>
      <c r="U27" t="s">
        <v>49</v>
      </c>
      <c r="V27" t="s">
        <v>41</v>
      </c>
      <c r="W27" t="s">
        <v>41</v>
      </c>
      <c r="X27" t="s">
        <v>53</v>
      </c>
      <c r="Y27" s="8">
        <v>5</v>
      </c>
      <c r="Z27">
        <v>30</v>
      </c>
      <c r="AA27" s="7">
        <v>5</v>
      </c>
      <c r="AB27">
        <v>150</v>
      </c>
      <c r="AC27" s="7">
        <v>5</v>
      </c>
      <c r="AD27" s="7">
        <v>57</v>
      </c>
      <c r="AE27" s="7" t="s">
        <v>41</v>
      </c>
      <c r="AF27" s="7">
        <v>57</v>
      </c>
      <c r="AG27" s="8">
        <v>57</v>
      </c>
      <c r="AH27" s="8" t="s">
        <v>41</v>
      </c>
      <c r="AI27" s="8" t="s">
        <v>41</v>
      </c>
      <c r="AJ27" s="8" t="s">
        <v>41</v>
      </c>
      <c r="AK27" s="8" t="s">
        <v>41</v>
      </c>
      <c r="AL27" s="8">
        <v>57</v>
      </c>
      <c r="AM27" s="8" t="s">
        <v>41</v>
      </c>
      <c r="AN27" s="27">
        <v>1710</v>
      </c>
      <c r="AV27" s="36">
        <f t="shared" si="0"/>
        <v>1710</v>
      </c>
      <c r="AX27" s="25">
        <v>46143</v>
      </c>
      <c r="AY27" s="26" t="s">
        <v>318</v>
      </c>
    </row>
    <row r="28" spans="1:51" x14ac:dyDescent="0.2">
      <c r="A28">
        <v>426</v>
      </c>
      <c r="B28" s="23">
        <v>241420767</v>
      </c>
      <c r="C28" t="s">
        <v>216</v>
      </c>
      <c r="D28" t="s">
        <v>88</v>
      </c>
      <c r="E28" t="s">
        <v>217</v>
      </c>
      <c r="F28" t="s">
        <v>218</v>
      </c>
      <c r="G28" s="9" t="s">
        <v>45</v>
      </c>
      <c r="H28" s="9">
        <v>9999</v>
      </c>
      <c r="I28" s="10" t="s">
        <v>46</v>
      </c>
      <c r="J28" s="10" t="s">
        <v>46</v>
      </c>
      <c r="K28" t="s">
        <v>55</v>
      </c>
      <c r="L28" t="s">
        <v>69</v>
      </c>
      <c r="M28" t="s">
        <v>41</v>
      </c>
      <c r="N28" t="s">
        <v>41</v>
      </c>
      <c r="O28" t="s">
        <v>49</v>
      </c>
      <c r="P28" t="s">
        <v>41</v>
      </c>
      <c r="Q28" t="s">
        <v>55</v>
      </c>
      <c r="R28" t="s">
        <v>70</v>
      </c>
      <c r="S28" t="s">
        <v>41</v>
      </c>
      <c r="T28" t="s">
        <v>41</v>
      </c>
      <c r="U28" t="s">
        <v>49</v>
      </c>
      <c r="V28" t="s">
        <v>41</v>
      </c>
      <c r="W28" t="s">
        <v>41</v>
      </c>
      <c r="X28" t="s">
        <v>51</v>
      </c>
      <c r="Y28" s="8">
        <v>5.5</v>
      </c>
      <c r="Z28">
        <v>17</v>
      </c>
      <c r="AA28" s="7">
        <v>11</v>
      </c>
      <c r="AB28">
        <v>187</v>
      </c>
      <c r="AC28" s="7">
        <v>11</v>
      </c>
      <c r="AD28" s="7">
        <v>11</v>
      </c>
      <c r="AE28" s="7" t="s">
        <v>41</v>
      </c>
      <c r="AF28" s="7">
        <v>11</v>
      </c>
      <c r="AG28" s="8">
        <v>11</v>
      </c>
      <c r="AH28" s="8" t="s">
        <v>41</v>
      </c>
      <c r="AI28" s="8" t="s">
        <v>41</v>
      </c>
      <c r="AJ28" s="8" t="s">
        <v>41</v>
      </c>
      <c r="AK28" s="8" t="s">
        <v>41</v>
      </c>
      <c r="AL28" s="8">
        <v>11</v>
      </c>
      <c r="AM28" s="8" t="s">
        <v>41</v>
      </c>
      <c r="AN28" s="27">
        <v>187</v>
      </c>
      <c r="AV28" s="36">
        <f t="shared" si="0"/>
        <v>187</v>
      </c>
      <c r="AX28" s="25">
        <v>46143</v>
      </c>
      <c r="AY28" s="26" t="s">
        <v>318</v>
      </c>
    </row>
    <row r="29" spans="1:51" x14ac:dyDescent="0.2">
      <c r="A29">
        <v>390</v>
      </c>
      <c r="B29" s="17">
        <v>657477358</v>
      </c>
      <c r="C29" t="s">
        <v>219</v>
      </c>
      <c r="D29" t="s">
        <v>166</v>
      </c>
      <c r="E29" t="s">
        <v>220</v>
      </c>
      <c r="F29" t="s">
        <v>221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B29" t="s">
        <v>41</v>
      </c>
      <c r="AC29" s="7" t="s">
        <v>41</v>
      </c>
      <c r="AD29" s="7" t="s">
        <v>41</v>
      </c>
      <c r="AG29" s="8" t="s">
        <v>41</v>
      </c>
      <c r="AH29" s="8" t="s">
        <v>41</v>
      </c>
      <c r="AI29" s="8" t="s">
        <v>41</v>
      </c>
      <c r="AJ29" s="8" t="s">
        <v>41</v>
      </c>
      <c r="AK29" s="8" t="s">
        <v>41</v>
      </c>
      <c r="AL29" s="8" t="s">
        <v>41</v>
      </c>
      <c r="AM29" s="8" t="s">
        <v>41</v>
      </c>
      <c r="AN29" s="27">
        <v>0</v>
      </c>
      <c r="AO29" s="24">
        <v>725</v>
      </c>
      <c r="AU29" s="24"/>
      <c r="AV29" s="36">
        <f t="shared" si="0"/>
        <v>725</v>
      </c>
      <c r="AX29" s="25">
        <v>46143</v>
      </c>
      <c r="AY29" s="26" t="s">
        <v>318</v>
      </c>
    </row>
    <row r="30" spans="1:51" x14ac:dyDescent="0.2">
      <c r="A30">
        <v>972</v>
      </c>
      <c r="B30" s="23">
        <v>0</v>
      </c>
      <c r="C30" t="s">
        <v>222</v>
      </c>
      <c r="D30" t="s">
        <v>223</v>
      </c>
      <c r="E30" t="s">
        <v>224</v>
      </c>
      <c r="F30" t="s">
        <v>225</v>
      </c>
      <c r="G30" s="14" t="s">
        <v>107</v>
      </c>
      <c r="H30" s="14">
        <v>1060</v>
      </c>
      <c r="I30" s="14" t="s">
        <v>108</v>
      </c>
      <c r="J30" t="s">
        <v>41</v>
      </c>
      <c r="K30" t="s">
        <v>109</v>
      </c>
      <c r="L30" t="s">
        <v>56</v>
      </c>
      <c r="M30" t="s">
        <v>111</v>
      </c>
      <c r="N30" t="s">
        <v>226</v>
      </c>
      <c r="O30" t="s">
        <v>49</v>
      </c>
      <c r="P30" t="s">
        <v>41</v>
      </c>
      <c r="Q30" t="s">
        <v>109</v>
      </c>
      <c r="R30" t="s">
        <v>70</v>
      </c>
      <c r="S30" t="s">
        <v>227</v>
      </c>
      <c r="T30" t="s">
        <v>227</v>
      </c>
      <c r="U30" t="s">
        <v>49</v>
      </c>
      <c r="V30" t="s">
        <v>41</v>
      </c>
      <c r="W30" t="s">
        <v>41</v>
      </c>
      <c r="X30" t="s">
        <v>53</v>
      </c>
      <c r="Y30" s="8">
        <v>6.5</v>
      </c>
      <c r="Z30">
        <v>15</v>
      </c>
      <c r="AA30" s="7">
        <v>6.5</v>
      </c>
      <c r="AB30">
        <v>97.5</v>
      </c>
      <c r="AC30" s="7">
        <v>6.5</v>
      </c>
      <c r="AD30" s="7">
        <v>36.08</v>
      </c>
      <c r="AE30" s="7" t="s">
        <v>41</v>
      </c>
      <c r="AF30" s="7">
        <v>36.08</v>
      </c>
      <c r="AG30" s="8">
        <v>36.08</v>
      </c>
      <c r="AH30" s="8" t="s">
        <v>41</v>
      </c>
      <c r="AI30" s="8" t="s">
        <v>41</v>
      </c>
      <c r="AJ30" s="8" t="s">
        <v>41</v>
      </c>
      <c r="AK30" s="8" t="s">
        <v>41</v>
      </c>
      <c r="AL30" s="8">
        <v>36.08</v>
      </c>
      <c r="AM30" s="8" t="s">
        <v>41</v>
      </c>
      <c r="AN30" s="27">
        <v>541.25</v>
      </c>
      <c r="AU30" s="38"/>
      <c r="AV30" s="36">
        <f t="shared" si="0"/>
        <v>541.25</v>
      </c>
      <c r="AX30" s="25">
        <v>46143</v>
      </c>
      <c r="AY30" s="26" t="s">
        <v>318</v>
      </c>
    </row>
    <row r="31" spans="1:51" x14ac:dyDescent="0.2">
      <c r="A31">
        <v>167</v>
      </c>
      <c r="B31" s="23">
        <v>329554321</v>
      </c>
      <c r="C31" t="s">
        <v>228</v>
      </c>
      <c r="D31" t="s">
        <v>229</v>
      </c>
      <c r="E31" t="s">
        <v>230</v>
      </c>
      <c r="F31" t="s">
        <v>231</v>
      </c>
      <c r="G31" s="15" t="s">
        <v>213</v>
      </c>
      <c r="H31" s="15">
        <v>1040</v>
      </c>
      <c r="I31" s="15" t="s">
        <v>214</v>
      </c>
      <c r="J31" t="s">
        <v>41</v>
      </c>
      <c r="K31" t="s">
        <v>54</v>
      </c>
      <c r="L31" t="s">
        <v>232</v>
      </c>
      <c r="M31" t="s">
        <v>215</v>
      </c>
      <c r="N31" t="s">
        <v>215</v>
      </c>
      <c r="O31" t="s">
        <v>52</v>
      </c>
      <c r="P31" t="s">
        <v>41</v>
      </c>
      <c r="Q31" t="s">
        <v>47</v>
      </c>
      <c r="R31" t="s">
        <v>48</v>
      </c>
      <c r="S31" t="s">
        <v>233</v>
      </c>
      <c r="T31" t="s">
        <v>233</v>
      </c>
      <c r="U31" t="s">
        <v>52</v>
      </c>
      <c r="V31" t="s">
        <v>41</v>
      </c>
      <c r="W31" t="s">
        <v>41</v>
      </c>
      <c r="X31" t="s">
        <v>53</v>
      </c>
      <c r="Y31" s="8">
        <v>8.75</v>
      </c>
      <c r="Z31">
        <v>20</v>
      </c>
      <c r="AA31" s="7">
        <v>17.5</v>
      </c>
      <c r="AB31">
        <v>350</v>
      </c>
      <c r="AC31" s="7">
        <v>17.5</v>
      </c>
      <c r="AD31" s="7">
        <v>33.270000000000003</v>
      </c>
      <c r="AE31" s="7" t="s">
        <v>41</v>
      </c>
      <c r="AF31" s="7">
        <v>33.270000000000003</v>
      </c>
      <c r="AG31" s="8">
        <v>33.270000000000003</v>
      </c>
      <c r="AH31" s="8" t="s">
        <v>41</v>
      </c>
      <c r="AI31" s="8" t="s">
        <v>41</v>
      </c>
      <c r="AJ31" s="8" t="s">
        <v>41</v>
      </c>
      <c r="AK31" s="8" t="s">
        <v>41</v>
      </c>
      <c r="AL31" s="8">
        <v>33.270000000000003</v>
      </c>
      <c r="AM31" s="8" t="s">
        <v>41</v>
      </c>
      <c r="AN31" s="27">
        <v>665.33</v>
      </c>
      <c r="AV31" s="36">
        <f t="shared" si="0"/>
        <v>665.33</v>
      </c>
      <c r="AX31" s="25">
        <v>46143</v>
      </c>
      <c r="AY31" s="26" t="s">
        <v>318</v>
      </c>
    </row>
    <row r="32" spans="1:51" x14ac:dyDescent="0.2">
      <c r="A32">
        <v>576</v>
      </c>
      <c r="B32" s="23">
        <v>183988439</v>
      </c>
      <c r="C32" t="s">
        <v>235</v>
      </c>
      <c r="D32" t="s">
        <v>236</v>
      </c>
      <c r="E32" t="s">
        <v>237</v>
      </c>
      <c r="F32" t="s">
        <v>238</v>
      </c>
      <c r="G32" s="9" t="s">
        <v>45</v>
      </c>
      <c r="H32" s="9">
        <v>9999</v>
      </c>
      <c r="I32" s="10" t="s">
        <v>46</v>
      </c>
      <c r="J32" s="10" t="s">
        <v>46</v>
      </c>
      <c r="K32" t="s">
        <v>55</v>
      </c>
      <c r="L32" t="s">
        <v>239</v>
      </c>
      <c r="M32" t="s">
        <v>41</v>
      </c>
      <c r="N32" t="s">
        <v>41</v>
      </c>
      <c r="O32" t="s">
        <v>49</v>
      </c>
      <c r="P32" t="s">
        <v>41</v>
      </c>
      <c r="Q32" t="s">
        <v>55</v>
      </c>
      <c r="R32" t="s">
        <v>240</v>
      </c>
      <c r="S32" t="s">
        <v>41</v>
      </c>
      <c r="T32" t="s">
        <v>41</v>
      </c>
      <c r="U32" t="s">
        <v>49</v>
      </c>
      <c r="V32" t="s">
        <v>41</v>
      </c>
      <c r="W32" t="s">
        <v>41</v>
      </c>
      <c r="X32" t="s">
        <v>53</v>
      </c>
      <c r="Y32" s="8">
        <v>6.98</v>
      </c>
      <c r="Z32">
        <v>24</v>
      </c>
      <c r="AA32" s="7">
        <v>13.97</v>
      </c>
      <c r="AB32">
        <v>335.2</v>
      </c>
      <c r="AC32" s="7">
        <v>13.97</v>
      </c>
      <c r="AD32" s="7">
        <v>13.97</v>
      </c>
      <c r="AE32" s="7" t="s">
        <v>41</v>
      </c>
      <c r="AF32" s="7">
        <v>13.97</v>
      </c>
      <c r="AG32" s="8">
        <v>13.97</v>
      </c>
      <c r="AH32" s="8" t="s">
        <v>41</v>
      </c>
      <c r="AI32" s="8" t="s">
        <v>41</v>
      </c>
      <c r="AJ32" s="8" t="s">
        <v>41</v>
      </c>
      <c r="AK32" s="8" t="s">
        <v>41</v>
      </c>
      <c r="AL32" s="8">
        <v>13.97</v>
      </c>
      <c r="AM32" s="8" t="s">
        <v>41</v>
      </c>
      <c r="AN32" s="27">
        <v>335.2</v>
      </c>
      <c r="AV32" s="36">
        <f t="shared" si="0"/>
        <v>335.2</v>
      </c>
      <c r="AX32" s="25">
        <v>46143</v>
      </c>
      <c r="AY32" s="26" t="s">
        <v>318</v>
      </c>
    </row>
    <row r="33" spans="1:51" x14ac:dyDescent="0.2">
      <c r="A33">
        <v>602</v>
      </c>
      <c r="B33" s="23">
        <v>882597495</v>
      </c>
      <c r="C33" t="s">
        <v>245</v>
      </c>
      <c r="D33" t="s">
        <v>104</v>
      </c>
      <c r="E33" t="s">
        <v>246</v>
      </c>
      <c r="F33" t="s">
        <v>247</v>
      </c>
      <c r="G33" s="9" t="s">
        <v>45</v>
      </c>
      <c r="H33" s="9">
        <v>9999</v>
      </c>
      <c r="I33" s="10" t="s">
        <v>46</v>
      </c>
      <c r="J33" s="10" t="s">
        <v>46</v>
      </c>
      <c r="K33" t="s">
        <v>55</v>
      </c>
      <c r="L33" t="s">
        <v>77</v>
      </c>
      <c r="M33" t="s">
        <v>41</v>
      </c>
      <c r="N33" t="s">
        <v>41</v>
      </c>
      <c r="O33" t="s">
        <v>49</v>
      </c>
      <c r="P33" t="s">
        <v>41</v>
      </c>
      <c r="Q33" t="s">
        <v>55</v>
      </c>
      <c r="R33" t="s">
        <v>70</v>
      </c>
      <c r="S33" t="s">
        <v>41</v>
      </c>
      <c r="T33" t="s">
        <v>41</v>
      </c>
      <c r="U33" t="s">
        <v>49</v>
      </c>
      <c r="V33" t="s">
        <v>41</v>
      </c>
      <c r="W33" t="s">
        <v>41</v>
      </c>
      <c r="X33" t="s">
        <v>51</v>
      </c>
      <c r="Y33" s="8">
        <v>8.5</v>
      </c>
      <c r="Z33">
        <v>20</v>
      </c>
      <c r="AA33" s="7">
        <v>17</v>
      </c>
      <c r="AB33">
        <v>340</v>
      </c>
      <c r="AC33" s="7">
        <v>17</v>
      </c>
      <c r="AD33" s="7">
        <v>17</v>
      </c>
      <c r="AE33" s="7" t="s">
        <v>41</v>
      </c>
      <c r="AF33" s="7">
        <v>17</v>
      </c>
      <c r="AG33" s="8">
        <v>17</v>
      </c>
      <c r="AH33" s="8" t="s">
        <v>41</v>
      </c>
      <c r="AI33" s="8" t="s">
        <v>41</v>
      </c>
      <c r="AJ33" s="8" t="s">
        <v>41</v>
      </c>
      <c r="AK33" s="8" t="s">
        <v>41</v>
      </c>
      <c r="AL33" s="8">
        <v>17</v>
      </c>
      <c r="AM33" s="8" t="s">
        <v>41</v>
      </c>
      <c r="AN33" s="27">
        <v>340</v>
      </c>
      <c r="AV33" s="36">
        <f t="shared" si="0"/>
        <v>340</v>
      </c>
      <c r="AX33" s="25">
        <v>46143</v>
      </c>
      <c r="AY33" s="26" t="s">
        <v>318</v>
      </c>
    </row>
    <row r="34" spans="1:51" x14ac:dyDescent="0.2">
      <c r="A34">
        <v>999</v>
      </c>
      <c r="B34" s="17">
        <v>999984222</v>
      </c>
      <c r="C34" t="s">
        <v>241</v>
      </c>
      <c r="D34" t="s">
        <v>242</v>
      </c>
      <c r="E34" t="s">
        <v>243</v>
      </c>
      <c r="F34" t="s">
        <v>244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B34" t="s">
        <v>41</v>
      </c>
      <c r="AC34" s="7" t="s">
        <v>41</v>
      </c>
      <c r="AD34" s="7" t="s">
        <v>41</v>
      </c>
      <c r="AG34" s="8" t="s">
        <v>41</v>
      </c>
      <c r="AH34" s="8" t="s">
        <v>41</v>
      </c>
      <c r="AI34" s="8" t="s">
        <v>41</v>
      </c>
      <c r="AJ34" s="8" t="s">
        <v>41</v>
      </c>
      <c r="AK34" s="8" t="s">
        <v>41</v>
      </c>
      <c r="AL34" s="8" t="s">
        <v>41</v>
      </c>
      <c r="AM34" s="8" t="s">
        <v>41</v>
      </c>
      <c r="AN34" s="27">
        <v>0</v>
      </c>
      <c r="AR34" s="24">
        <v>600</v>
      </c>
      <c r="AU34" s="24"/>
      <c r="AV34" s="36">
        <f t="shared" si="0"/>
        <v>600</v>
      </c>
      <c r="AW34" t="s">
        <v>319</v>
      </c>
      <c r="AX34" s="25">
        <v>46143</v>
      </c>
      <c r="AY34" s="26" t="s">
        <v>318</v>
      </c>
    </row>
    <row r="35" spans="1:51" x14ac:dyDescent="0.2">
      <c r="A35">
        <v>424</v>
      </c>
      <c r="B35" s="23">
        <v>821721098</v>
      </c>
      <c r="C35" t="s">
        <v>249</v>
      </c>
      <c r="D35" t="s">
        <v>250</v>
      </c>
      <c r="E35" t="s">
        <v>251</v>
      </c>
      <c r="F35" t="s">
        <v>252</v>
      </c>
      <c r="G35" s="9" t="s">
        <v>45</v>
      </c>
      <c r="H35" s="9">
        <v>9999</v>
      </c>
      <c r="I35" s="10" t="s">
        <v>46</v>
      </c>
      <c r="J35" s="10" t="s">
        <v>46</v>
      </c>
      <c r="K35" t="s">
        <v>55</v>
      </c>
      <c r="L35" t="s">
        <v>77</v>
      </c>
      <c r="M35" t="s">
        <v>41</v>
      </c>
      <c r="N35" t="s">
        <v>41</v>
      </c>
      <c r="O35" t="s">
        <v>49</v>
      </c>
      <c r="P35" t="s">
        <v>41</v>
      </c>
      <c r="Q35" t="s">
        <v>55</v>
      </c>
      <c r="R35" t="s">
        <v>103</v>
      </c>
      <c r="S35" t="s">
        <v>41</v>
      </c>
      <c r="T35" t="s">
        <v>41</v>
      </c>
      <c r="U35" t="s">
        <v>49</v>
      </c>
      <c r="V35" t="s">
        <v>41</v>
      </c>
      <c r="W35" t="s">
        <v>41</v>
      </c>
      <c r="X35" t="s">
        <v>51</v>
      </c>
      <c r="Y35" s="8">
        <v>8</v>
      </c>
      <c r="Z35">
        <v>17</v>
      </c>
      <c r="AA35" s="7">
        <v>16</v>
      </c>
      <c r="AB35">
        <v>272</v>
      </c>
      <c r="AC35" s="7">
        <v>16</v>
      </c>
      <c r="AD35" s="7">
        <v>16</v>
      </c>
      <c r="AE35" s="7" t="s">
        <v>41</v>
      </c>
      <c r="AF35" s="7">
        <v>16</v>
      </c>
      <c r="AG35" s="8">
        <v>16</v>
      </c>
      <c r="AH35" s="8" t="s">
        <v>41</v>
      </c>
      <c r="AI35" s="8" t="s">
        <v>41</v>
      </c>
      <c r="AJ35" s="8" t="s">
        <v>41</v>
      </c>
      <c r="AK35" s="8" t="s">
        <v>41</v>
      </c>
      <c r="AL35" s="8">
        <v>16</v>
      </c>
      <c r="AM35" s="8" t="s">
        <v>41</v>
      </c>
      <c r="AN35" s="27">
        <v>272</v>
      </c>
      <c r="AV35" s="36">
        <f t="shared" si="0"/>
        <v>272</v>
      </c>
      <c r="AX35" s="25">
        <v>46143</v>
      </c>
      <c r="AY35" s="26" t="s">
        <v>318</v>
      </c>
    </row>
    <row r="36" spans="1:51" x14ac:dyDescent="0.2">
      <c r="A36">
        <v>459</v>
      </c>
      <c r="B36" s="23">
        <v>765308782</v>
      </c>
      <c r="C36" t="s">
        <v>253</v>
      </c>
      <c r="D36" t="s">
        <v>254</v>
      </c>
      <c r="E36" t="s">
        <v>255</v>
      </c>
      <c r="F36" t="s">
        <v>256</v>
      </c>
      <c r="G36" s="12" t="s">
        <v>71</v>
      </c>
      <c r="H36" s="12">
        <v>1010</v>
      </c>
      <c r="I36" s="12" t="s">
        <v>143</v>
      </c>
      <c r="J36" t="s">
        <v>41</v>
      </c>
      <c r="K36" t="s">
        <v>54</v>
      </c>
      <c r="L36" t="s">
        <v>48</v>
      </c>
      <c r="M36" t="s">
        <v>73</v>
      </c>
      <c r="N36" t="s">
        <v>156</v>
      </c>
      <c r="O36" t="s">
        <v>49</v>
      </c>
      <c r="P36" t="s">
        <v>41</v>
      </c>
      <c r="Q36" t="s">
        <v>54</v>
      </c>
      <c r="R36" t="s">
        <v>151</v>
      </c>
      <c r="S36" t="s">
        <v>73</v>
      </c>
      <c r="T36" t="s">
        <v>257</v>
      </c>
      <c r="U36" t="s">
        <v>52</v>
      </c>
      <c r="V36" t="s">
        <v>41</v>
      </c>
      <c r="W36" t="s">
        <v>41</v>
      </c>
      <c r="X36" t="s">
        <v>53</v>
      </c>
      <c r="Y36" s="8">
        <v>5.0199999999999996</v>
      </c>
      <c r="Z36">
        <v>16</v>
      </c>
      <c r="AA36" s="7">
        <v>5.0199999999999996</v>
      </c>
      <c r="AB36">
        <v>80.27</v>
      </c>
      <c r="AC36" s="7">
        <v>5.0199999999999996</v>
      </c>
      <c r="AD36" s="7">
        <v>18.02</v>
      </c>
      <c r="AE36" s="7" t="s">
        <v>41</v>
      </c>
      <c r="AF36" s="7">
        <v>18.02</v>
      </c>
      <c r="AG36" s="8">
        <v>18.02</v>
      </c>
      <c r="AH36" s="8" t="s">
        <v>41</v>
      </c>
      <c r="AI36" s="8" t="s">
        <v>41</v>
      </c>
      <c r="AJ36" s="8" t="s">
        <v>41</v>
      </c>
      <c r="AK36" s="8" t="s">
        <v>41</v>
      </c>
      <c r="AL36" s="8">
        <v>18.02</v>
      </c>
      <c r="AM36" s="8" t="s">
        <v>41</v>
      </c>
      <c r="AN36" s="27">
        <v>288.27</v>
      </c>
      <c r="AV36" s="36">
        <f t="shared" si="0"/>
        <v>288.27</v>
      </c>
      <c r="AX36" s="25">
        <v>46143</v>
      </c>
      <c r="AY36" s="26" t="s">
        <v>318</v>
      </c>
    </row>
    <row r="37" spans="1:51" x14ac:dyDescent="0.2">
      <c r="A37">
        <v>727</v>
      </c>
      <c r="B37" s="23">
        <v>149301832</v>
      </c>
      <c r="C37" t="s">
        <v>258</v>
      </c>
      <c r="D37" t="s">
        <v>259</v>
      </c>
      <c r="E37" t="s">
        <v>260</v>
      </c>
      <c r="F37" t="s">
        <v>261</v>
      </c>
      <c r="G37" s="9" t="s">
        <v>45</v>
      </c>
      <c r="H37" s="9">
        <v>9999</v>
      </c>
      <c r="I37" s="10" t="s">
        <v>46</v>
      </c>
      <c r="J37" s="10" t="s">
        <v>46</v>
      </c>
      <c r="K37" t="s">
        <v>55</v>
      </c>
      <c r="L37" t="s">
        <v>69</v>
      </c>
      <c r="M37" t="s">
        <v>41</v>
      </c>
      <c r="N37" t="s">
        <v>41</v>
      </c>
      <c r="O37" t="s">
        <v>49</v>
      </c>
      <c r="P37" t="s">
        <v>41</v>
      </c>
      <c r="Q37" t="s">
        <v>55</v>
      </c>
      <c r="R37" t="s">
        <v>103</v>
      </c>
      <c r="S37" t="s">
        <v>41</v>
      </c>
      <c r="T37" t="s">
        <v>41</v>
      </c>
      <c r="U37" t="s">
        <v>49</v>
      </c>
      <c r="V37" t="s">
        <v>41</v>
      </c>
      <c r="W37" t="s">
        <v>41</v>
      </c>
      <c r="X37" t="s">
        <v>51</v>
      </c>
      <c r="Y37" s="8">
        <v>5</v>
      </c>
      <c r="Z37">
        <v>17</v>
      </c>
      <c r="AA37" s="7">
        <v>10</v>
      </c>
      <c r="AB37">
        <v>170</v>
      </c>
      <c r="AC37" s="7">
        <v>10</v>
      </c>
      <c r="AD37" s="7">
        <v>10</v>
      </c>
      <c r="AE37" s="7" t="s">
        <v>41</v>
      </c>
      <c r="AF37" s="7">
        <v>10</v>
      </c>
      <c r="AG37" s="8">
        <v>10</v>
      </c>
      <c r="AH37" s="8" t="s">
        <v>41</v>
      </c>
      <c r="AI37" s="8" t="s">
        <v>41</v>
      </c>
      <c r="AJ37" s="8" t="s">
        <v>41</v>
      </c>
      <c r="AK37" s="8" t="s">
        <v>41</v>
      </c>
      <c r="AL37" s="8">
        <v>10</v>
      </c>
      <c r="AM37" s="8" t="s">
        <v>41</v>
      </c>
      <c r="AN37" s="27">
        <v>170</v>
      </c>
      <c r="AV37" s="36">
        <f t="shared" si="0"/>
        <v>170</v>
      </c>
      <c r="AX37" s="25">
        <v>46143</v>
      </c>
      <c r="AY37" s="26" t="s">
        <v>318</v>
      </c>
    </row>
    <row r="38" spans="1:51" x14ac:dyDescent="0.2">
      <c r="A38">
        <v>1029</v>
      </c>
      <c r="B38" s="23">
        <v>0</v>
      </c>
      <c r="C38" t="s">
        <v>262</v>
      </c>
      <c r="D38" t="s">
        <v>263</v>
      </c>
      <c r="E38" t="s">
        <v>264</v>
      </c>
      <c r="F38" t="s">
        <v>265</v>
      </c>
      <c r="G38" s="9" t="s">
        <v>45</v>
      </c>
      <c r="H38" s="9">
        <v>9999</v>
      </c>
      <c r="I38" s="10" t="s">
        <v>46</v>
      </c>
      <c r="J38" s="10" t="s">
        <v>46</v>
      </c>
      <c r="K38" t="s">
        <v>55</v>
      </c>
      <c r="L38" t="s">
        <v>69</v>
      </c>
      <c r="M38" t="s">
        <v>41</v>
      </c>
      <c r="N38" t="s">
        <v>41</v>
      </c>
      <c r="O38" t="s">
        <v>49</v>
      </c>
      <c r="P38" t="s">
        <v>41</v>
      </c>
      <c r="Q38" t="s">
        <v>55</v>
      </c>
      <c r="R38" t="s">
        <v>70</v>
      </c>
      <c r="S38" t="s">
        <v>41</v>
      </c>
      <c r="T38" t="s">
        <v>41</v>
      </c>
      <c r="U38" t="s">
        <v>49</v>
      </c>
      <c r="V38" t="s">
        <v>41</v>
      </c>
      <c r="W38" t="s">
        <v>41</v>
      </c>
      <c r="X38" t="s">
        <v>51</v>
      </c>
      <c r="Y38" s="8">
        <v>5.5</v>
      </c>
      <c r="Z38">
        <v>15</v>
      </c>
      <c r="AA38" s="7">
        <v>11</v>
      </c>
      <c r="AB38">
        <v>165</v>
      </c>
      <c r="AC38" s="7">
        <v>11</v>
      </c>
      <c r="AD38" s="7">
        <v>11</v>
      </c>
      <c r="AE38" s="7" t="s">
        <v>41</v>
      </c>
      <c r="AF38" s="7">
        <v>11</v>
      </c>
      <c r="AG38" s="8">
        <v>11</v>
      </c>
      <c r="AH38" s="8" t="s">
        <v>41</v>
      </c>
      <c r="AI38" s="8" t="s">
        <v>41</v>
      </c>
      <c r="AJ38" s="8" t="s">
        <v>41</v>
      </c>
      <c r="AK38" s="8" t="s">
        <v>41</v>
      </c>
      <c r="AL38" s="8">
        <v>11</v>
      </c>
      <c r="AM38" s="8" t="s">
        <v>41</v>
      </c>
      <c r="AN38" s="27">
        <v>165</v>
      </c>
      <c r="AV38" s="36">
        <f t="shared" si="0"/>
        <v>165</v>
      </c>
      <c r="AX38" s="25">
        <v>46143</v>
      </c>
      <c r="AY38" s="26" t="s">
        <v>318</v>
      </c>
    </row>
    <row r="39" spans="1:51" x14ac:dyDescent="0.2">
      <c r="A39">
        <v>124</v>
      </c>
      <c r="B39" s="23">
        <v>136630328</v>
      </c>
      <c r="C39" t="s">
        <v>266</v>
      </c>
      <c r="D39" t="s">
        <v>267</v>
      </c>
      <c r="E39" t="s">
        <v>268</v>
      </c>
      <c r="F39" t="s">
        <v>269</v>
      </c>
      <c r="G39" s="16" t="s">
        <v>270</v>
      </c>
      <c r="H39" t="s">
        <v>41</v>
      </c>
      <c r="I39" s="10" t="s">
        <v>46</v>
      </c>
      <c r="J39" s="10" t="s">
        <v>46</v>
      </c>
      <c r="K39" t="s">
        <v>109</v>
      </c>
      <c r="L39" t="s">
        <v>56</v>
      </c>
      <c r="M39" t="s">
        <v>271</v>
      </c>
      <c r="N39" t="s">
        <v>271</v>
      </c>
      <c r="O39" t="s">
        <v>52</v>
      </c>
      <c r="P39" t="s">
        <v>41</v>
      </c>
      <c r="Q39" t="s">
        <v>109</v>
      </c>
      <c r="R39" t="s">
        <v>103</v>
      </c>
      <c r="S39" t="s">
        <v>272</v>
      </c>
      <c r="T39" t="s">
        <v>272</v>
      </c>
      <c r="U39" t="s">
        <v>52</v>
      </c>
      <c r="V39" t="s">
        <v>41</v>
      </c>
      <c r="W39" t="s">
        <v>41</v>
      </c>
      <c r="X39" t="s">
        <v>53</v>
      </c>
      <c r="Y39" s="8">
        <v>6</v>
      </c>
      <c r="Z39">
        <v>22</v>
      </c>
      <c r="AA39" s="7">
        <v>6</v>
      </c>
      <c r="AB39">
        <v>132</v>
      </c>
      <c r="AC39" s="7">
        <v>6</v>
      </c>
      <c r="AD39" s="7">
        <v>28.5</v>
      </c>
      <c r="AE39" s="7" t="s">
        <v>41</v>
      </c>
      <c r="AF39" s="7">
        <v>28.5</v>
      </c>
      <c r="AG39" s="8">
        <v>28.5</v>
      </c>
      <c r="AH39" s="8" t="s">
        <v>41</v>
      </c>
      <c r="AI39" s="8" t="s">
        <v>41</v>
      </c>
      <c r="AJ39" s="8" t="s">
        <v>41</v>
      </c>
      <c r="AK39" s="8" t="s">
        <v>41</v>
      </c>
      <c r="AL39" s="8">
        <v>28.5</v>
      </c>
      <c r="AM39" s="8" t="s">
        <v>41</v>
      </c>
      <c r="AN39" s="27">
        <v>627</v>
      </c>
      <c r="AO39" s="24">
        <v>900</v>
      </c>
      <c r="AP39" s="24">
        <v>100</v>
      </c>
      <c r="AV39" s="36">
        <f t="shared" si="0"/>
        <v>1627</v>
      </c>
      <c r="AX39" s="25">
        <v>46143</v>
      </c>
      <c r="AY39" s="26" t="s">
        <v>318</v>
      </c>
    </row>
    <row r="40" spans="1:51" x14ac:dyDescent="0.2">
      <c r="A40">
        <v>118</v>
      </c>
      <c r="B40" s="23">
        <v>993902379</v>
      </c>
      <c r="C40" t="s">
        <v>273</v>
      </c>
      <c r="D40" t="s">
        <v>274</v>
      </c>
      <c r="E40" t="s">
        <v>275</v>
      </c>
      <c r="F40" t="s">
        <v>276</v>
      </c>
      <c r="G40" s="9" t="s">
        <v>45</v>
      </c>
      <c r="H40" s="9">
        <v>9999</v>
      </c>
      <c r="I40" s="10" t="s">
        <v>46</v>
      </c>
      <c r="J40" s="10" t="s">
        <v>46</v>
      </c>
      <c r="K40" t="s">
        <v>55</v>
      </c>
      <c r="L40" t="s">
        <v>277</v>
      </c>
      <c r="M40" t="s">
        <v>41</v>
      </c>
      <c r="N40" t="s">
        <v>41</v>
      </c>
      <c r="O40" t="s">
        <v>49</v>
      </c>
      <c r="P40" t="s">
        <v>41</v>
      </c>
      <c r="Q40" t="s">
        <v>55</v>
      </c>
      <c r="R40" t="s">
        <v>103</v>
      </c>
      <c r="S40" t="s">
        <v>41</v>
      </c>
      <c r="T40" t="s">
        <v>41</v>
      </c>
      <c r="U40" t="s">
        <v>49</v>
      </c>
      <c r="V40" t="s">
        <v>41</v>
      </c>
      <c r="W40" t="s">
        <v>41</v>
      </c>
      <c r="X40" t="s">
        <v>51</v>
      </c>
      <c r="Y40" s="8">
        <v>5.33</v>
      </c>
      <c r="Z40">
        <v>17</v>
      </c>
      <c r="AA40" s="7">
        <v>10.67</v>
      </c>
      <c r="AB40">
        <v>181.33</v>
      </c>
      <c r="AC40" s="7">
        <v>10.67</v>
      </c>
      <c r="AD40" s="7">
        <v>10.67</v>
      </c>
      <c r="AE40" s="7" t="s">
        <v>41</v>
      </c>
      <c r="AF40" s="7">
        <v>10.67</v>
      </c>
      <c r="AG40" s="8">
        <v>10.67</v>
      </c>
      <c r="AH40" s="8" t="s">
        <v>41</v>
      </c>
      <c r="AI40" s="8" t="s">
        <v>41</v>
      </c>
      <c r="AJ40" s="8" t="s">
        <v>41</v>
      </c>
      <c r="AK40" s="8" t="s">
        <v>41</v>
      </c>
      <c r="AL40" s="8">
        <v>10.67</v>
      </c>
      <c r="AM40" s="8" t="s">
        <v>41</v>
      </c>
      <c r="AN40" s="27">
        <v>181.33</v>
      </c>
      <c r="AV40" s="36">
        <f t="shared" si="0"/>
        <v>181.33</v>
      </c>
      <c r="AX40" s="25">
        <v>46143</v>
      </c>
      <c r="AY40" s="26" t="s">
        <v>318</v>
      </c>
    </row>
    <row r="41" spans="1:51" s="40" customFormat="1" x14ac:dyDescent="0.2">
      <c r="A41" s="40">
        <v>940</v>
      </c>
      <c r="B41" s="41">
        <v>0</v>
      </c>
      <c r="C41" s="40" t="s">
        <v>278</v>
      </c>
      <c r="D41" s="40" t="s">
        <v>279</v>
      </c>
      <c r="E41" s="40" t="s">
        <v>280</v>
      </c>
      <c r="F41" s="40" t="s">
        <v>281</v>
      </c>
      <c r="G41" s="40" t="s">
        <v>71</v>
      </c>
      <c r="H41" s="40">
        <v>1010</v>
      </c>
      <c r="I41" s="40" t="s">
        <v>72</v>
      </c>
      <c r="J41" s="40" t="s">
        <v>41</v>
      </c>
      <c r="K41" s="40" t="s">
        <v>55</v>
      </c>
      <c r="L41" s="40" t="s">
        <v>69</v>
      </c>
      <c r="M41" s="40" t="s">
        <v>73</v>
      </c>
      <c r="N41" s="40" t="s">
        <v>87</v>
      </c>
      <c r="O41" s="40" t="s">
        <v>52</v>
      </c>
      <c r="P41" s="40" t="s">
        <v>41</v>
      </c>
      <c r="Q41" s="40" t="s">
        <v>55</v>
      </c>
      <c r="R41" s="40" t="s">
        <v>103</v>
      </c>
      <c r="S41" s="40" t="s">
        <v>73</v>
      </c>
      <c r="T41" s="40" t="s">
        <v>115</v>
      </c>
      <c r="U41" s="40" t="s">
        <v>49</v>
      </c>
      <c r="V41" s="40" t="s">
        <v>41</v>
      </c>
      <c r="W41" s="40" t="s">
        <v>41</v>
      </c>
      <c r="X41" s="40" t="s">
        <v>53</v>
      </c>
      <c r="Y41" s="42">
        <v>5</v>
      </c>
      <c r="Z41" s="40">
        <v>15</v>
      </c>
      <c r="AA41" s="43">
        <v>10</v>
      </c>
      <c r="AB41" s="40">
        <v>150</v>
      </c>
      <c r="AC41" s="43">
        <v>10</v>
      </c>
      <c r="AD41" s="43">
        <v>10</v>
      </c>
      <c r="AE41" s="43" t="s">
        <v>41</v>
      </c>
      <c r="AF41" s="43">
        <v>10</v>
      </c>
      <c r="AG41" s="42">
        <v>10</v>
      </c>
      <c r="AH41" s="42" t="s">
        <v>41</v>
      </c>
      <c r="AI41" s="42" t="s">
        <v>41</v>
      </c>
      <c r="AJ41" s="42" t="s">
        <v>41</v>
      </c>
      <c r="AK41" s="42" t="s">
        <v>41</v>
      </c>
      <c r="AL41" s="42">
        <v>10</v>
      </c>
      <c r="AM41" s="42" t="s">
        <v>41</v>
      </c>
      <c r="AN41" s="44">
        <v>150</v>
      </c>
      <c r="AO41" s="44">
        <v>525</v>
      </c>
      <c r="AP41" s="44">
        <v>150</v>
      </c>
      <c r="AQ41" s="44"/>
      <c r="AR41" s="44"/>
      <c r="AS41" s="44"/>
      <c r="AT41" s="44"/>
      <c r="AU41" s="45"/>
      <c r="AV41" s="46">
        <f t="shared" si="0"/>
        <v>825</v>
      </c>
      <c r="AX41" s="47">
        <v>46143</v>
      </c>
      <c r="AY41" s="48" t="s">
        <v>318</v>
      </c>
    </row>
    <row r="42" spans="1:51" x14ac:dyDescent="0.2">
      <c r="A42">
        <v>890</v>
      </c>
      <c r="B42" s="23">
        <v>435408783</v>
      </c>
      <c r="C42" t="s">
        <v>282</v>
      </c>
      <c r="D42" t="s">
        <v>42</v>
      </c>
      <c r="E42" t="s">
        <v>283</v>
      </c>
      <c r="F42" t="s">
        <v>284</v>
      </c>
      <c r="G42" s="12" t="s">
        <v>71</v>
      </c>
      <c r="H42" s="12">
        <v>1010</v>
      </c>
      <c r="I42" s="12" t="s">
        <v>143</v>
      </c>
      <c r="J42" t="s">
        <v>41</v>
      </c>
      <c r="K42" t="s">
        <v>178</v>
      </c>
      <c r="L42" t="s">
        <v>48</v>
      </c>
      <c r="M42" t="s">
        <v>73</v>
      </c>
      <c r="N42" t="s">
        <v>156</v>
      </c>
      <c r="O42" t="s">
        <v>52</v>
      </c>
      <c r="P42" t="s">
        <v>41</v>
      </c>
      <c r="Q42" t="s">
        <v>178</v>
      </c>
      <c r="R42" t="s">
        <v>179</v>
      </c>
      <c r="S42" t="s">
        <v>73</v>
      </c>
      <c r="T42" t="s">
        <v>156</v>
      </c>
      <c r="U42" t="s">
        <v>49</v>
      </c>
      <c r="V42" t="s">
        <v>41</v>
      </c>
      <c r="W42" t="s">
        <v>41</v>
      </c>
      <c r="X42" t="s">
        <v>53</v>
      </c>
      <c r="Y42" s="8">
        <v>1</v>
      </c>
      <c r="Z42">
        <v>15</v>
      </c>
      <c r="AA42" s="7" t="s">
        <v>41</v>
      </c>
      <c r="AB42">
        <v>0</v>
      </c>
      <c r="AC42" s="7" t="s">
        <v>41</v>
      </c>
      <c r="AD42" s="7">
        <v>21.87</v>
      </c>
      <c r="AE42" s="7" t="s">
        <v>41</v>
      </c>
      <c r="AF42" s="7" t="s">
        <v>41</v>
      </c>
      <c r="AG42" s="8">
        <v>21.87</v>
      </c>
      <c r="AH42" s="8" t="s">
        <v>41</v>
      </c>
      <c r="AI42" s="8" t="s">
        <v>41</v>
      </c>
      <c r="AJ42" s="8" t="s">
        <v>41</v>
      </c>
      <c r="AK42" s="8" t="s">
        <v>41</v>
      </c>
      <c r="AL42" s="8">
        <v>21.87</v>
      </c>
      <c r="AM42" s="8" t="s">
        <v>41</v>
      </c>
      <c r="AN42" s="27">
        <v>328</v>
      </c>
      <c r="AV42" s="36">
        <f t="shared" si="0"/>
        <v>328</v>
      </c>
      <c r="AX42" s="25">
        <v>46143</v>
      </c>
      <c r="AY42" s="26" t="s">
        <v>318</v>
      </c>
    </row>
    <row r="43" spans="1:51" x14ac:dyDescent="0.2">
      <c r="A43">
        <v>951</v>
      </c>
      <c r="B43" s="23">
        <v>0</v>
      </c>
      <c r="C43" t="s">
        <v>285</v>
      </c>
      <c r="D43" t="s">
        <v>286</v>
      </c>
      <c r="E43" t="s">
        <v>287</v>
      </c>
      <c r="F43" t="s">
        <v>288</v>
      </c>
      <c r="G43" s="12" t="s">
        <v>71</v>
      </c>
      <c r="H43" s="12">
        <v>1010</v>
      </c>
      <c r="I43" s="12" t="s">
        <v>72</v>
      </c>
      <c r="J43" t="s">
        <v>41</v>
      </c>
      <c r="K43" t="s">
        <v>55</v>
      </c>
      <c r="L43" t="s">
        <v>69</v>
      </c>
      <c r="M43" t="s">
        <v>73</v>
      </c>
      <c r="N43" t="s">
        <v>248</v>
      </c>
      <c r="O43" t="s">
        <v>52</v>
      </c>
      <c r="P43" t="s">
        <v>41</v>
      </c>
      <c r="Q43" t="s">
        <v>55</v>
      </c>
      <c r="R43" t="s">
        <v>70</v>
      </c>
      <c r="S43" t="s">
        <v>73</v>
      </c>
      <c r="T43" t="s">
        <v>289</v>
      </c>
      <c r="U43" t="s">
        <v>49</v>
      </c>
      <c r="V43" t="s">
        <v>41</v>
      </c>
      <c r="W43" t="s">
        <v>41</v>
      </c>
      <c r="X43" t="s">
        <v>53</v>
      </c>
      <c r="Y43" s="8">
        <v>5.5</v>
      </c>
      <c r="Z43">
        <v>15</v>
      </c>
      <c r="AA43" s="7">
        <v>11</v>
      </c>
      <c r="AB43">
        <v>165</v>
      </c>
      <c r="AC43" s="7">
        <v>11</v>
      </c>
      <c r="AD43" s="7">
        <v>11</v>
      </c>
      <c r="AE43" s="7" t="s">
        <v>41</v>
      </c>
      <c r="AF43" s="7">
        <v>11</v>
      </c>
      <c r="AG43" s="8">
        <v>11</v>
      </c>
      <c r="AH43" s="8" t="s">
        <v>41</v>
      </c>
      <c r="AI43" s="8" t="s">
        <v>41</v>
      </c>
      <c r="AJ43" s="8" t="s">
        <v>41</v>
      </c>
      <c r="AK43" s="8" t="s">
        <v>41</v>
      </c>
      <c r="AL43" s="8">
        <v>11</v>
      </c>
      <c r="AM43" s="8" t="s">
        <v>41</v>
      </c>
      <c r="AN43" s="27">
        <v>165</v>
      </c>
      <c r="AV43" s="36">
        <f t="shared" si="0"/>
        <v>165</v>
      </c>
      <c r="AX43" s="25">
        <v>46143</v>
      </c>
      <c r="AY43" s="26" t="s">
        <v>318</v>
      </c>
    </row>
    <row r="44" spans="1:51" x14ac:dyDescent="0.2">
      <c r="A44">
        <v>675</v>
      </c>
      <c r="B44" s="17">
        <v>985987170</v>
      </c>
      <c r="C44" t="s">
        <v>290</v>
      </c>
      <c r="D44" t="s">
        <v>291</v>
      </c>
      <c r="E44" t="s">
        <v>292</v>
      </c>
      <c r="F44" t="s">
        <v>293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B44" t="s">
        <v>41</v>
      </c>
      <c r="AC44" s="7" t="s">
        <v>41</v>
      </c>
      <c r="AD44" s="7" t="s">
        <v>41</v>
      </c>
      <c r="AG44" s="8" t="s">
        <v>41</v>
      </c>
      <c r="AH44" s="8" t="s">
        <v>41</v>
      </c>
      <c r="AI44" s="8" t="s">
        <v>41</v>
      </c>
      <c r="AJ44" s="8" t="s">
        <v>41</v>
      </c>
      <c r="AK44" s="8" t="s">
        <v>41</v>
      </c>
      <c r="AL44" s="8" t="s">
        <v>41</v>
      </c>
      <c r="AM44" s="8" t="s">
        <v>41</v>
      </c>
      <c r="AN44" s="27">
        <v>0</v>
      </c>
      <c r="AR44" s="24">
        <v>100</v>
      </c>
      <c r="AU44" s="24"/>
      <c r="AV44" s="36">
        <f t="shared" si="0"/>
        <v>100</v>
      </c>
      <c r="AW44" t="s">
        <v>319</v>
      </c>
      <c r="AX44"/>
      <c r="AY44"/>
    </row>
    <row r="45" spans="1:51" x14ac:dyDescent="0.2">
      <c r="A45">
        <v>265</v>
      </c>
      <c r="B45" s="23">
        <v>963973994</v>
      </c>
      <c r="C45" t="s">
        <v>294</v>
      </c>
      <c r="D45" t="s">
        <v>295</v>
      </c>
      <c r="E45" t="s">
        <v>296</v>
      </c>
      <c r="F45" t="s">
        <v>297</v>
      </c>
      <c r="G45" s="12" t="s">
        <v>71</v>
      </c>
      <c r="H45" s="12">
        <v>1010</v>
      </c>
      <c r="I45" s="12" t="s">
        <v>72</v>
      </c>
      <c r="J45" t="s">
        <v>41</v>
      </c>
      <c r="K45" t="s">
        <v>55</v>
      </c>
      <c r="L45" t="s">
        <v>130</v>
      </c>
      <c r="M45" t="s">
        <v>73</v>
      </c>
      <c r="N45" t="s">
        <v>234</v>
      </c>
      <c r="O45" t="s">
        <v>52</v>
      </c>
      <c r="P45" t="s">
        <v>41</v>
      </c>
      <c r="Q45" t="s">
        <v>55</v>
      </c>
      <c r="R45" t="s">
        <v>70</v>
      </c>
      <c r="S45" t="s">
        <v>73</v>
      </c>
      <c r="T45" t="s">
        <v>298</v>
      </c>
      <c r="U45" t="s">
        <v>49</v>
      </c>
      <c r="V45" t="s">
        <v>41</v>
      </c>
      <c r="W45" t="s">
        <v>41</v>
      </c>
      <c r="X45" t="s">
        <v>53</v>
      </c>
      <c r="Y45" s="8">
        <v>5</v>
      </c>
      <c r="Z45">
        <v>16</v>
      </c>
      <c r="AA45" s="7">
        <v>10</v>
      </c>
      <c r="AB45">
        <v>160</v>
      </c>
      <c r="AC45" s="7">
        <v>10</v>
      </c>
      <c r="AD45" s="7">
        <v>10</v>
      </c>
      <c r="AE45" s="7" t="s">
        <v>41</v>
      </c>
      <c r="AF45" s="7">
        <v>10</v>
      </c>
      <c r="AG45" s="8">
        <v>10</v>
      </c>
      <c r="AH45" s="8" t="s">
        <v>41</v>
      </c>
      <c r="AI45" s="8" t="s">
        <v>41</v>
      </c>
      <c r="AJ45" s="8" t="s">
        <v>41</v>
      </c>
      <c r="AK45" s="8" t="s">
        <v>41</v>
      </c>
      <c r="AL45" s="8">
        <v>10</v>
      </c>
      <c r="AM45" s="8" t="s">
        <v>41</v>
      </c>
      <c r="AN45" s="27">
        <v>160</v>
      </c>
      <c r="AV45" s="36">
        <f t="shared" si="0"/>
        <v>160</v>
      </c>
      <c r="AX45" s="25">
        <v>46143</v>
      </c>
      <c r="AY45" s="26" t="s">
        <v>318</v>
      </c>
    </row>
    <row r="46" spans="1:51" x14ac:dyDescent="0.2">
      <c r="A46">
        <v>186</v>
      </c>
      <c r="B46" s="23">
        <v>985981507</v>
      </c>
      <c r="C46" t="s">
        <v>294</v>
      </c>
      <c r="D46" t="s">
        <v>299</v>
      </c>
      <c r="E46" t="s">
        <v>300</v>
      </c>
      <c r="F46" t="s">
        <v>301</v>
      </c>
      <c r="G46" s="9" t="s">
        <v>45</v>
      </c>
      <c r="H46" s="9">
        <v>9999</v>
      </c>
      <c r="I46" s="10" t="s">
        <v>46</v>
      </c>
      <c r="J46" s="10" t="s">
        <v>46</v>
      </c>
      <c r="K46" t="s">
        <v>55</v>
      </c>
      <c r="L46" t="s">
        <v>77</v>
      </c>
      <c r="M46" t="s">
        <v>41</v>
      </c>
      <c r="N46" t="s">
        <v>41</v>
      </c>
      <c r="O46" t="s">
        <v>49</v>
      </c>
      <c r="P46" t="s">
        <v>41</v>
      </c>
      <c r="Q46" t="s">
        <v>55</v>
      </c>
      <c r="R46" t="s">
        <v>70</v>
      </c>
      <c r="S46" t="s">
        <v>41</v>
      </c>
      <c r="T46" t="s">
        <v>41</v>
      </c>
      <c r="U46" t="s">
        <v>49</v>
      </c>
      <c r="V46" t="s">
        <v>41</v>
      </c>
      <c r="W46" t="s">
        <v>41</v>
      </c>
      <c r="X46" t="s">
        <v>51</v>
      </c>
      <c r="Y46" s="8">
        <v>8.5</v>
      </c>
      <c r="Z46">
        <v>23</v>
      </c>
      <c r="AA46" s="7">
        <v>17</v>
      </c>
      <c r="AB46">
        <v>391</v>
      </c>
      <c r="AC46" s="7">
        <v>17</v>
      </c>
      <c r="AD46" s="7">
        <v>17</v>
      </c>
      <c r="AE46" s="7" t="s">
        <v>41</v>
      </c>
      <c r="AF46" s="7">
        <v>17</v>
      </c>
      <c r="AG46" s="8">
        <v>17</v>
      </c>
      <c r="AH46" s="8" t="s">
        <v>41</v>
      </c>
      <c r="AI46" s="8" t="s">
        <v>41</v>
      </c>
      <c r="AJ46" s="8" t="s">
        <v>41</v>
      </c>
      <c r="AK46" s="8" t="s">
        <v>41</v>
      </c>
      <c r="AL46" s="8">
        <v>17</v>
      </c>
      <c r="AM46" s="8" t="s">
        <v>41</v>
      </c>
      <c r="AN46" s="27">
        <v>391</v>
      </c>
      <c r="AV46" s="36">
        <f t="shared" si="0"/>
        <v>391</v>
      </c>
      <c r="AX46" s="25">
        <v>46143</v>
      </c>
      <c r="AY46" s="26" t="s">
        <v>318</v>
      </c>
    </row>
    <row r="47" spans="1:51" x14ac:dyDescent="0.2">
      <c r="A47">
        <v>1000</v>
      </c>
      <c r="B47" s="23" t="s">
        <v>306</v>
      </c>
      <c r="C47" t="s">
        <v>302</v>
      </c>
      <c r="D47" t="s">
        <v>303</v>
      </c>
      <c r="E47" t="s">
        <v>304</v>
      </c>
      <c r="F47" t="s">
        <v>305</v>
      </c>
      <c r="G47" s="9" t="s">
        <v>45</v>
      </c>
      <c r="H47" s="9">
        <v>9999</v>
      </c>
      <c r="I47" s="10" t="s">
        <v>46</v>
      </c>
      <c r="J47" s="10" t="s">
        <v>46</v>
      </c>
      <c r="K47" t="s">
        <v>55</v>
      </c>
      <c r="L47" t="s">
        <v>69</v>
      </c>
      <c r="M47" t="s">
        <v>41</v>
      </c>
      <c r="N47" t="s">
        <v>41</v>
      </c>
      <c r="O47" t="s">
        <v>49</v>
      </c>
      <c r="P47" t="s">
        <v>41</v>
      </c>
      <c r="Q47" t="s">
        <v>55</v>
      </c>
      <c r="R47" t="s">
        <v>103</v>
      </c>
      <c r="S47" t="s">
        <v>41</v>
      </c>
      <c r="T47" t="s">
        <v>41</v>
      </c>
      <c r="U47" t="s">
        <v>49</v>
      </c>
      <c r="V47" t="s">
        <v>41</v>
      </c>
      <c r="W47" t="s">
        <v>41</v>
      </c>
      <c r="X47" t="s">
        <v>51</v>
      </c>
      <c r="Y47" s="8">
        <v>5</v>
      </c>
      <c r="Z47">
        <v>15</v>
      </c>
      <c r="AA47" s="7">
        <v>10</v>
      </c>
      <c r="AB47">
        <v>150</v>
      </c>
      <c r="AC47" s="7">
        <v>10</v>
      </c>
      <c r="AD47" s="7">
        <v>10</v>
      </c>
      <c r="AE47" s="7" t="s">
        <v>41</v>
      </c>
      <c r="AF47" s="7">
        <v>10</v>
      </c>
      <c r="AG47" s="8">
        <v>10</v>
      </c>
      <c r="AH47" s="8" t="s">
        <v>41</v>
      </c>
      <c r="AI47" s="8" t="s">
        <v>41</v>
      </c>
      <c r="AJ47" s="8" t="s">
        <v>41</v>
      </c>
      <c r="AK47" s="8" t="s">
        <v>41</v>
      </c>
      <c r="AL47" s="8">
        <v>10</v>
      </c>
      <c r="AM47" s="8" t="s">
        <v>41</v>
      </c>
      <c r="AN47" s="27">
        <v>150</v>
      </c>
      <c r="AV47" s="36">
        <f t="shared" si="0"/>
        <v>150</v>
      </c>
      <c r="AX47" s="25">
        <v>46143</v>
      </c>
      <c r="AY47" s="26" t="s">
        <v>318</v>
      </c>
    </row>
    <row r="48" spans="1:51" s="34" customFormat="1" ht="16" x14ac:dyDescent="0.2">
      <c r="A48" s="29"/>
      <c r="B48" s="30"/>
      <c r="C48" s="29" t="s">
        <v>322</v>
      </c>
      <c r="D48" s="29"/>
      <c r="E48" s="29"/>
      <c r="F48" s="39" t="s">
        <v>321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31">
        <f>SUM(AN2:AN47)</f>
        <v>17767.640000000003</v>
      </c>
      <c r="AO48" s="31">
        <f t="shared" ref="AO48:AV48" si="1">SUM(AO2:AO47)</f>
        <v>2675</v>
      </c>
      <c r="AP48" s="31">
        <f t="shared" si="1"/>
        <v>350</v>
      </c>
      <c r="AQ48" s="31">
        <f t="shared" si="1"/>
        <v>200</v>
      </c>
      <c r="AR48" s="31">
        <f t="shared" si="1"/>
        <v>700</v>
      </c>
      <c r="AS48" s="31">
        <f t="shared" si="1"/>
        <v>0</v>
      </c>
      <c r="AT48" s="31">
        <f t="shared" si="1"/>
        <v>0</v>
      </c>
      <c r="AU48" s="32">
        <f t="shared" si="1"/>
        <v>0</v>
      </c>
      <c r="AV48" s="31">
        <f t="shared" si="1"/>
        <v>21692.640000000003</v>
      </c>
      <c r="AW48" s="29"/>
      <c r="AX48" s="33"/>
      <c r="AY48" s="33"/>
    </row>
  </sheetData>
  <autoFilter ref="A1:AZ47" xr:uid="{C5F9EAEB-4460-A642-ABB0-CEEA8876C0D0}"/>
  <hyperlinks>
    <hyperlink ref="F48" r:id="rId1" xr:uid="{2CC594A7-248D-9A44-AB5B-29116E79DE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CORTES</cp:lastModifiedBy>
  <dcterms:created xsi:type="dcterms:W3CDTF">2026-01-05T21:11:09Z</dcterms:created>
  <dcterms:modified xsi:type="dcterms:W3CDTF">2026-03-19T23:07:38Z</dcterms:modified>
</cp:coreProperties>
</file>